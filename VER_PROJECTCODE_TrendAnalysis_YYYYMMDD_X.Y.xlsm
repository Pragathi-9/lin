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09" codeName="{00000000-0000-0000-0000-000000000000}"/>
  <workbookPr showInkAnnotation="0" codeName="ThisWorkbook"/>
  <mc:AlternateContent xmlns:mc="http://schemas.openxmlformats.org/markup-compatibility/2006">
    <mc:Choice Requires="x15">
      <x15ac:absPath xmlns:x15ac="http://schemas.microsoft.com/office/spreadsheetml/2010/11/ac" url="https://d.docs.live.net/27343a619581ce28/Documents/ZooKoo/00-ZooKoo/01_Customers/024_Verolt/Consulting/Review Completed/2nd Feb/PRM/Templates/"/>
    </mc:Choice>
  </mc:AlternateContent>
  <xr:revisionPtr revIDLastSave="6" documentId="8_{06C8C770-890C-BD40-9701-A686A91A7F7D}" xr6:coauthVersionLast="47" xr6:coauthVersionMax="47" xr10:uidLastSave="{575CDC6B-457D-4635-B4BB-F7360ADEBEE2}"/>
  <bookViews>
    <workbookView xWindow="1440" yWindow="760" windowWidth="19940" windowHeight="16260" tabRatio="696" firstSheet="3" activeTab="4" xr2:uid="{00000000-000D-0000-FFFF-FFFF00000000}"/>
  </bookViews>
  <sheets>
    <sheet name="Cover Page" sheetId="16" r:id="rId1"/>
    <sheet name="Document Change History" sheetId="26" r:id="rId2"/>
    <sheet name="General" sheetId="24" r:id="rId3"/>
    <sheet name="Trend Analysis Report" sheetId="23" r:id="rId4"/>
    <sheet name="Template Change History" sheetId="25" r:id="rId5"/>
    <sheet name="KPIT_Metrics" sheetId="9" state="hidden" r:id="rId6"/>
    <sheet name="Skills_Competency_Desired" sheetId="12" state="hidden" r:id="rId7"/>
  </sheets>
  <externalReferences>
    <externalReference r:id="rId8"/>
    <externalReference r:id="rId9"/>
  </externalReferences>
  <definedNames>
    <definedName name="_xlnm._FilterDatabase" localSheetId="5" hidden="1">KPIT_Metrics!$A$3:$A$62</definedName>
    <definedName name="Cats" localSheetId="2">[1]!Table2[Category]</definedName>
    <definedName name="Cats">Table2[Category]</definedName>
    <definedName name="Grades">KPIT_Metrics!$J$3:$J$10</definedName>
    <definedName name="Roles">KPIT_Metrics!$A$3:$A$11</definedName>
    <definedName name="Selected_Role" localSheetId="1">#REF!</definedName>
    <definedName name="Selected_Role">#REF!</definedName>
    <definedName name="SelectedCat" localSheetId="1">#REF!</definedName>
    <definedName name="SelectedCat">#REF!</definedName>
    <definedName name="SelectedKPI" localSheetId="1">#REF!</definedName>
    <definedName name="SelectedKPI">#REF!</definedName>
    <definedName name="SelectedKPIs" localSheetId="1">INDEX([2]KPIT_Metrics!$E$3:$G$3,1,MATCH('Document Change History'!SelectedCat,[2]KPIT_Metrics!$E$2:$G$2,0)):INDEX([2]KPIT_Metrics!$E$3:$G$101,COUNTA(INDEX([2]KPIT_Metrics!$E$3:$G$101,1,MATCH('Document Change History'!SelectedCat,[2]KPIT_Metrics!$E$2:$G$2,0)):INDEX([2]KPIT_Metrics!$E$3:$G$101,98,MATCH('Document Change History'!SelectedCat,[2]KPIT_Metrics!$E$2:P$2,0))),MATCH('Document Change History'!SelectedCat,[2]KPIT_Metrics!$E$2:P$2,0))</definedName>
    <definedName name="SelectedKPIs" localSheetId="2">INDEX([1]KPIT_Metrics!$E$3:$G$3,1,MATCH(SelectedCat,[1]KPIT_Metrics!$E$2:$G$2,0)):INDEX([1]KPIT_Metrics!$E$3:$G$101,COUNTA(INDEX([1]KPIT_Metrics!$E$3:$G$101,1,MATCH(SelectedCat,[1]KPIT_Metrics!$E$2:$G$2,0)):INDEX([1]KPIT_Metrics!$E$3:$G$101,98,MATCH(SelectedCat,[1]KPIT_Metrics!$E$2:P$2,0))),MATCH(SelectedCat,[1]KPIT_Metrics!$E$2:P$2,0))</definedName>
    <definedName name="SelectedKPIs">INDEX(KPIT_Metrics!$E$3:$G$3,1,MATCH(SelectedCat,KPIT_Metrics!$E$2:$G$2,0)):INDEX(KPIT_Metrics!$E$3:$G$101,COUNTA(INDEX(KPIT_Metrics!$E$3:$G$101,1,MATCH(SelectedCat,KPIT_Metrics!$E$2:$G$2,0)):INDEX(KPIT_Metrics!$E$3:$G$101,98,MATCH(SelectedCat,KPIT_Metrics!$E$2:P$2,0))),MATCH(SelectedCat,KPIT_Metrics!$E$2:P$2,0))</definedName>
    <definedName name="SelectedMetrics" localSheetId="1">INDEX([2]!Table4[Metric],MATCH('Document Change History'!SelectedKPI,[2]!Table4[KPI],0),1):INDEX([2]!Table4[Metric],MATCH('Document Change History'!SelectedKPI,[2]!Table4[KPI],0)+COUNTIF([2]!Table4[KPI],'Document Change History'!SelectedKPI)-1,1)</definedName>
    <definedName name="SelectedMetrics" localSheetId="2">INDEX([1]!Table4[Metric],MATCH(SelectedKPI,[1]!Table4[KPI],0),1):INDEX([1]!Table4[Metric],MATCH(SelectedKPI,[1]!Table4[KPI],0)+COUNTIF([1]!Table4[KPI],SelectedKPI)-1,1)</definedName>
    <definedName name="SelectedMetrics">INDEX(Table4[Metric],MATCH(SelectedKPI,Table4[KPI],0),1):INDEX(Table4[Metric],MATCH(SelectedKPI,Table4[KPI],0)+COUNTIF(Table4[KPI],SelectedKPI)-1,1)</definedName>
    <definedName name="SkillGroups">KPIT_Metrics!$I$3:$I$20</definedName>
    <definedName name="SkillRoles">Skills_Competency_Desired!$D$14:$Z$14</definedName>
    <definedName name="Skills_DB">Skills_Competency_Desired!$D$14:$Z$349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1"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tc={3DD13F7E-5EC4-4052-9BC4-A3C5A86CCF32}</author>
  </authors>
  <commentList>
    <comment ref="C31" authorId="0" shapeId="0" xr:uid="{3DD13F7E-5EC4-4052-9BC4-A3C5A86CCF32}">
      <text>
        <t>[Threaded comment]
Your version of Excel allows you to read this threaded comment; however, any edits to it will get removed if the file is opened in a newer version of Excel. Learn more: https://go.microsoft.com/fwlink/?linkid=870924
Comment:
    Give some examples
Reply:
    Done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tc={8CEBC91D-033D-CA41-9D91-3EBDCE7A44A7}</author>
  </authors>
  <commentList>
    <comment ref="D90" authorId="0" shapeId="0" xr:uid="{8CEBC91D-033D-CA41-9D91-3EBDCE7A44A7}">
      <text>
        <t>[Threaded comment]
Your version of Excel allows you to read this threaded comment; however, any edits to it will get removed if the file is opened in a newer version of Excel. Learn more: https://go.microsoft.com/fwlink/?linkid=870924
Comment:
    Also check if you can come up with some trend analysis for how many urgent cases, customer problems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Jawad Ali</author>
  </authors>
  <commentList>
    <comment ref="D16" authorId="0" shapeId="0" xr:uid="{00000000-0006-0000-0700-000001000000}">
      <text>
        <r>
          <rPr>
            <b/>
            <sz val="9"/>
            <color indexed="81"/>
            <rFont val="Tahoma"/>
            <family val="2"/>
          </rPr>
          <t>Include:
- Coding Standards
- Build &amp; Debugging
- Code Optimization</t>
        </r>
      </text>
    </comment>
    <comment ref="D76" authorId="0" shapeId="0" xr:uid="{00000000-0006-0000-0700-000002000000}">
      <text>
        <r>
          <rPr>
            <b/>
            <sz val="9"/>
            <color indexed="81"/>
            <rFont val="Tahoma"/>
            <family val="2"/>
          </rPr>
          <t>Jawad Ali:</t>
        </r>
        <r>
          <rPr>
            <sz val="9"/>
            <color indexed="81"/>
            <rFont val="Tahoma"/>
            <family val="2"/>
          </rPr>
          <t xml:space="preserve">
An attitude that demonstrates Motivated/self driven, go getter, persverence, patience</t>
        </r>
      </text>
    </comment>
    <comment ref="D80" authorId="0" shapeId="0" xr:uid="{00000000-0006-0000-0700-000003000000}">
      <text>
        <r>
          <rPr>
            <b/>
            <sz val="9"/>
            <color indexed="81"/>
            <rFont val="Tahoma"/>
            <family val="2"/>
          </rPr>
          <t>Includes,
MAAB Guidelines
MISRA Guidelines</t>
        </r>
      </text>
    </comment>
  </commentList>
</comments>
</file>

<file path=xl/sharedStrings.xml><?xml version="1.0" encoding="utf-8"?>
<sst xmlns="http://schemas.openxmlformats.org/spreadsheetml/2006/main" count="1596" uniqueCount="758">
  <si>
    <t>Verolt Engineering Private Ltd. 
Confidential  Information
Do Not Copy Without Prior Permission</t>
  </si>
  <si>
    <t>Trend Analysis Report</t>
  </si>
  <si>
    <t>For</t>
  </si>
  <si>
    <t>___Project Name___</t>
  </si>
  <si>
    <t>PREPARED FOR:</t>
  </si>
  <si>
    <t>&lt;Customer&gt;</t>
  </si>
  <si>
    <t>&lt;Customer_Location&gt;</t>
  </si>
  <si>
    <t>Version : &lt;X.Y&gt;</t>
  </si>
  <si>
    <t>PREPARED BY:</t>
  </si>
  <si>
    <t>Verolt Engineering Private Limited</t>
  </si>
  <si>
    <t>INDIA</t>
  </si>
  <si>
    <t>Role</t>
  </si>
  <si>
    <t>Name</t>
  </si>
  <si>
    <t>Date</t>
  </si>
  <si>
    <t>Author</t>
  </si>
  <si>
    <t>&lt;Name of the associate&gt;</t>
  </si>
  <si>
    <t>dd-mm-yyyy</t>
  </si>
  <si>
    <t>Reviewer</t>
  </si>
  <si>
    <t>Approver</t>
  </si>
  <si>
    <t>Document Change History</t>
  </si>
  <si>
    <t>Version</t>
  </si>
  <si>
    <t>Prepared/
Modified By</t>
  </si>
  <si>
    <t>Description</t>
  </si>
  <si>
    <t>DD-MM-YYYY</t>
  </si>
  <si>
    <t>X.Y</t>
  </si>
  <si>
    <t>Resource name</t>
  </si>
  <si>
    <t>Description of changes made to be put here</t>
  </si>
  <si>
    <t xml:space="preserve"> </t>
  </si>
  <si>
    <t>1.0 Purpose</t>
  </si>
  <si>
    <t>This section is to define the purpose of the Trend Analysis</t>
  </si>
  <si>
    <t>The purpose of a Trend Analysis is to facilitate proactive decision-making by identifying and analyzing patterns and trends in problem resolution management (PRM) data. Enhance organizational strategies, mitigate recurring issues, and foster continuous improvement for sustained effectiveness.</t>
  </si>
  <si>
    <t>2.0 Scope</t>
  </si>
  <si>
    <t>This section is for the description of the scope of the Trend Analysis</t>
  </si>
  <si>
    <t>The scope of a Trend Analysis encompass the systematic examination of historical data within problem resolution management. Analyze trends in issue identification, resolution times, recurrence patterns, and root causes. Provide insights for informed decision-making, process refinement, and continuous improvement.</t>
  </si>
  <si>
    <t>3.0 Intended Audience</t>
  </si>
  <si>
    <t>This section is to define all the audience to whom this Trend Analysis report is to be shared</t>
  </si>
  <si>
    <t>Below is the list to whom this Trend Analysis report is to be shared
1) Section Heads/ Leads/ Manager
2) Project Manager
3) Customer (if asked)
4) Problem Manager etc.</t>
  </si>
  <si>
    <t xml:space="preserve">4.0 Abbreviations </t>
  </si>
  <si>
    <t>This section is to define all the abbreviation that are going to be used in this Trend Analysis Report</t>
  </si>
  <si>
    <t>QA</t>
  </si>
  <si>
    <t>Quality Assurance</t>
  </si>
  <si>
    <t>PM</t>
  </si>
  <si>
    <t>Problem Manager</t>
  </si>
  <si>
    <t>PRM</t>
  </si>
  <si>
    <t>Problem Resolution Management</t>
  </si>
  <si>
    <t>5.0 Definitions</t>
  </si>
  <si>
    <t>This section is to mention all the important terms which are supposed to be defined for the basic understanding of the intended audience of this document</t>
  </si>
  <si>
    <t>Project</t>
  </si>
  <si>
    <t>A Project is temporary endeavor undertaken to create a unique product or service</t>
  </si>
  <si>
    <t>6.0 Reference</t>
  </si>
  <si>
    <t>This section is to mention all the input documents for this Trend Analysis Report</t>
  </si>
  <si>
    <t>Document</t>
  </si>
  <si>
    <t>Location</t>
  </si>
  <si>
    <t>Problem Resolution Document Procedure</t>
  </si>
  <si>
    <t>xxxxx</t>
  </si>
  <si>
    <t>7.0 Appendix</t>
  </si>
  <si>
    <t>This section is to mention all the attachment to this Trend Analysis Report</t>
  </si>
  <si>
    <t>Quality report</t>
  </si>
  <si>
    <t xml:space="preserve"> Trend Analysis Report</t>
  </si>
  <si>
    <t>Non-Compliance Trend Analysis</t>
  </si>
  <si>
    <t>Week</t>
  </si>
  <si>
    <t>Week 1</t>
  </si>
  <si>
    <t>Week 2</t>
  </si>
  <si>
    <t>Week 3</t>
  </si>
  <si>
    <t>Week 4</t>
  </si>
  <si>
    <t>Week 5</t>
  </si>
  <si>
    <t>Week 6</t>
  </si>
  <si>
    <t>Week 7</t>
  </si>
  <si>
    <t>Week 8</t>
  </si>
  <si>
    <t>Week 9</t>
  </si>
  <si>
    <t>Non-Compliance found</t>
  </si>
  <si>
    <t>Non-Compliance closed</t>
  </si>
  <si>
    <t>Non-Compliance Found cumulative</t>
  </si>
  <si>
    <t>Non-Compliance closed cumulative</t>
  </si>
  <si>
    <t>Issue Trend Analysis</t>
  </si>
  <si>
    <t>Issue found</t>
  </si>
  <si>
    <t>Issue closed</t>
  </si>
  <si>
    <t>Issue Found cumulative</t>
  </si>
  <si>
    <t>Issue closed cumulative</t>
  </si>
  <si>
    <t>Defect Trend Analysis</t>
  </si>
  <si>
    <t>Defect found</t>
  </si>
  <si>
    <t>Defect closed</t>
  </si>
  <si>
    <t>Defect Found cumulative</t>
  </si>
  <si>
    <t>Defect closed cumulative</t>
  </si>
  <si>
    <t>Template Change History</t>
  </si>
  <si>
    <t>Version No</t>
  </si>
  <si>
    <t xml:space="preserve">Changed by </t>
  </si>
  <si>
    <t>Description of Changes</t>
  </si>
  <si>
    <t>1.0.0</t>
  </si>
  <si>
    <t>Bhavish Khashu</t>
  </si>
  <si>
    <t>Initial Template</t>
  </si>
  <si>
    <t>Guna Sai Sankar Manikyam</t>
  </si>
  <si>
    <t>Updated versioning format</t>
  </si>
  <si>
    <t>Roles</t>
  </si>
  <si>
    <t>Grades</t>
  </si>
  <si>
    <t>Category</t>
  </si>
  <si>
    <t>COST</t>
  </si>
  <si>
    <t>QUALITY</t>
  </si>
  <si>
    <t>DELIVERY</t>
  </si>
  <si>
    <t>Skill Groups</t>
  </si>
  <si>
    <t>KPI</t>
  </si>
  <si>
    <t>Metric</t>
  </si>
  <si>
    <t>Formula</t>
  </si>
  <si>
    <t>Application Type</t>
  </si>
  <si>
    <t>Measurable Entity</t>
  </si>
  <si>
    <t>UOM</t>
  </si>
  <si>
    <t>Data Type</t>
  </si>
  <si>
    <t>Metric Classification</t>
  </si>
  <si>
    <t>Example</t>
  </si>
  <si>
    <t>Developer</t>
  </si>
  <si>
    <t>Grade A</t>
  </si>
  <si>
    <t>Cost of Quality &amp; Poor Quality</t>
  </si>
  <si>
    <t>Code Quality</t>
  </si>
  <si>
    <t>Customer Satisfaction</t>
  </si>
  <si>
    <t>Software Development</t>
  </si>
  <si>
    <t>% FC Effort</t>
  </si>
  <si>
    <t>(FC Effort/Total Project Effort)*100</t>
  </si>
  <si>
    <t>Lag</t>
  </si>
  <si>
    <t>Process (Project)</t>
  </si>
  <si>
    <t>%</t>
  </si>
  <si>
    <t>Ratio</t>
  </si>
  <si>
    <t>Larger the Better</t>
  </si>
  <si>
    <t>FC Effort = 5, 
Total Project Effort = 100
%FC Effort = (5/100) * 100 = 5%.</t>
  </si>
  <si>
    <t>Tester</t>
  </si>
  <si>
    <t>Grade B</t>
  </si>
  <si>
    <t>Effort Variance</t>
  </si>
  <si>
    <t>Design Quality</t>
  </si>
  <si>
    <t>On Time Delivery</t>
  </si>
  <si>
    <t>Testing</t>
  </si>
  <si>
    <t>% Review Effort - Phase</t>
  </si>
  <si>
    <t>(Review Effort Phase/Total Phase Effort)*100</t>
  </si>
  <si>
    <t>Lead</t>
  </si>
  <si>
    <t>Process (Phase)</t>
  </si>
  <si>
    <t>Moderate the Best</t>
  </si>
  <si>
    <t>Review Effort = 5
Uniphase Effort = 40
% Review Effort - Phase = (5/40) * 100 = 12.5%</t>
  </si>
  <si>
    <t>SME</t>
  </si>
  <si>
    <t>Grade C</t>
  </si>
  <si>
    <t>Productivity</t>
  </si>
  <si>
    <t>Defect Density</t>
  </si>
  <si>
    <t>Earned Value</t>
  </si>
  <si>
    <t>Process &amp; Quality</t>
  </si>
  <si>
    <t>% Rework Effort - Phase</t>
  </si>
  <si>
    <t>(Rework Effort Phase/Total Project Effort)*100</t>
  </si>
  <si>
    <t>Rework Effort = 5
Uniphase Effort = 40
% Rework Effort - Phase = (5/40) * 100 = 12.5%</t>
  </si>
  <si>
    <t>Project Lead</t>
  </si>
  <si>
    <t>Grade D</t>
  </si>
  <si>
    <t>Resource Utilization</t>
  </si>
  <si>
    <t>Defect Rate</t>
  </si>
  <si>
    <t>Schedule Slippage</t>
  </si>
  <si>
    <t>Project Planning &amp; Tracking</t>
  </si>
  <si>
    <t>% Rework Effort - Project</t>
  </si>
  <si>
    <t>(Rework Effort Total/Total Project Effort)*100</t>
  </si>
  <si>
    <t>Rework Effort = 10
Total Project Effort = 100
% Rework Effort - Project = (10/100) * 100 = 10%</t>
  </si>
  <si>
    <t>Project Manager</t>
  </si>
  <si>
    <t>Grade E</t>
  </si>
  <si>
    <t>Size Variance</t>
  </si>
  <si>
    <t>First Time Right</t>
  </si>
  <si>
    <t>Schedule Variance</t>
  </si>
  <si>
    <t>Professional Skills</t>
  </si>
  <si>
    <t>% Screen Effort - Phase</t>
  </si>
  <si>
    <t>(Screen Effort Phase/Total Phase Effort)*100</t>
  </si>
  <si>
    <t>Screen Effort = 3
Uniphase Effort = 40
% Screen Effort - Phase = (3/40) * 100 = 7.5%</t>
  </si>
  <si>
    <t>Program Manager</t>
  </si>
  <si>
    <t>Process Compliance</t>
  </si>
  <si>
    <t>Control Systems &amp; MBD</t>
  </si>
  <si>
    <t>Grade F</t>
  </si>
  <si>
    <t>% Testing Effort - Project</t>
  </si>
  <si>
    <t>(Testing effort /Total Project Effort)*100</t>
  </si>
  <si>
    <t>Testing Effort = 20
Project Effort = 100
% Testing Effort - Project = (20/100) * 100 = 20%</t>
  </si>
  <si>
    <t>Scrum Master</t>
  </si>
  <si>
    <t>Product Performance</t>
  </si>
  <si>
    <t>Turn Around Time</t>
  </si>
  <si>
    <t>Systems Engineering</t>
  </si>
  <si>
    <t>Grade G</t>
  </si>
  <si>
    <t>% UC Effort</t>
  </si>
  <si>
    <t>(UC effort/Total Project Effort)*100</t>
  </si>
  <si>
    <t>Smaller the Better</t>
  </si>
  <si>
    <t>UC Effort = 5, 
Total Project Effort = 100
%UC Effort = (5/100) * 100 = 5%.</t>
  </si>
  <si>
    <t>Product Owner</t>
  </si>
  <si>
    <t>Reopened Tickets</t>
  </si>
  <si>
    <t>Safety &amp; Security</t>
  </si>
  <si>
    <t>Grade H</t>
  </si>
  <si>
    <t>Effort Variance - Phase</t>
  </si>
  <si>
    <t>(Actual Effort- Planned Effort)/Planned Effort : Phase wise</t>
  </si>
  <si>
    <t>Uniphase Planned Effort = 40
Uniphase Actual Effort = 42
Effort Variance - Phase = (42-40)/40 * 100 =5%</t>
  </si>
  <si>
    <t>Review Effectiveness</t>
  </si>
  <si>
    <t>Leadership</t>
  </si>
  <si>
    <t>Effort Variance - Project</t>
  </si>
  <si>
    <t>(Actual Effort- Planned Effort)/Planned Effort : Project wise</t>
  </si>
  <si>
    <t>Project Planned Effort = 100
Project Actual Effort = 105
Effort Variance - Project = (105-100)/100 * 100=5%</t>
  </si>
  <si>
    <t>Test Coverage</t>
  </si>
  <si>
    <t>NOS/AUTOSAR</t>
  </si>
  <si>
    <t>C++ Productivity</t>
  </si>
  <si>
    <t>SLOC/ Total Project Effort (in Person Month)</t>
  </si>
  <si>
    <t>SLOC/PM</t>
  </si>
  <si>
    <t>Continuous</t>
  </si>
  <si>
    <t>SLOC = 2000
Total Project Effort = 100 PD = 4.54 PM
C++ Productivity = 2000/4.54= 440</t>
  </si>
  <si>
    <t>Test Execution</t>
  </si>
  <si>
    <t>PT</t>
  </si>
  <si>
    <t>Capacity</t>
  </si>
  <si>
    <t>Planned Story points/Sprint</t>
  </si>
  <si>
    <t>Process (Sprint)</t>
  </si>
  <si>
    <t>SP/Sprint</t>
  </si>
  <si>
    <t>NA</t>
  </si>
  <si>
    <t>Zero Defect Delivery</t>
  </si>
  <si>
    <t>ePT</t>
  </si>
  <si>
    <t>Emb. C Productivity</t>
  </si>
  <si>
    <t>SLOC = 2000
Total Project Effort = 100 PD = 4.54 PM
Emb. C Productivity = 2000/4.54= 440</t>
  </si>
  <si>
    <t>AD</t>
  </si>
  <si>
    <t>Java Productivity</t>
  </si>
  <si>
    <t>SLOC = 2000
Total Project Effort = 100 PD = 4.54 PM
Java Productivity = 2000/4.54= 440</t>
  </si>
  <si>
    <t>Connected Vehicle</t>
  </si>
  <si>
    <t>MATLAB productivity</t>
  </si>
  <si>
    <t>SLOC = 2000
Total Project Effort = 100 PD = 4.54 PM
MATLAB Productivity = 2000/4.54 = 440</t>
  </si>
  <si>
    <t>Tools/Database Development</t>
  </si>
  <si>
    <t>Pearl Productivity</t>
  </si>
  <si>
    <t>SLOC = 2000
Total Project Effort = 100 PD = 4.54 PM
Pearl Productivity = 2000/4.54= 440</t>
  </si>
  <si>
    <t>Vehicle Systems</t>
  </si>
  <si>
    <t>Python Productivity</t>
  </si>
  <si>
    <t>SLOC = 2000
Total Project Effort = 100 PD = 4.54 PM
Python Productivity = 2000/4.54 = 440</t>
  </si>
  <si>
    <t>Chassis</t>
  </si>
  <si>
    <t>Requirements Productivity</t>
  </si>
  <si>
    <t>No of Req/PD</t>
  </si>
  <si>
    <t>Req/PD</t>
  </si>
  <si>
    <t>No of Requirements = 2000
Total Project Effort = 100 PD
Requirements Productivity = 2000/100 = 20</t>
  </si>
  <si>
    <t>Agile &amp; Scrum</t>
  </si>
  <si>
    <t>TC Development Productivity</t>
  </si>
  <si>
    <t>TC developed/PD</t>
  </si>
  <si>
    <t>TC/PD</t>
  </si>
  <si>
    <t>No of TC = 1500
TC Development Effort = 100 PD
TC Development Productivity = 1500/100 = 15</t>
  </si>
  <si>
    <t>TC Execution Productivity</t>
  </si>
  <si>
    <t>TC executed/PD</t>
  </si>
  <si>
    <t>No of TC = 1500
TC Execution Effort = 20 PD
TC Execution Productivity = 1500/20 = 75</t>
  </si>
  <si>
    <t>Testing Productivity</t>
  </si>
  <si>
    <t>Total TC Developed &amp; Executed/Actual Effort in PD</t>
  </si>
  <si>
    <t>No of TC = 1500
Total Testing Effort = 120 PD
Testing Productivity = 1500/20 = 12.5</t>
  </si>
  <si>
    <t>VB.NET/C#.NET Productivity</t>
  </si>
  <si>
    <t>ESLOC/PM</t>
  </si>
  <si>
    <t>SLOC = 2000
Total Project Effort = 100 PD = 4.54 PM
VB.net/C#.net Productivity = 2000/4.54 = 440</t>
  </si>
  <si>
    <t>Velocity</t>
  </si>
  <si>
    <t>Actual delivered Story Points/Sprint</t>
  </si>
  <si>
    <t>% FC Effort Realization</t>
  </si>
  <si>
    <t>FC Effort Billed/Total FC Effort * 100</t>
  </si>
  <si>
    <t>Total FC Effort = 5 PD
FC Effort Billed = 5 PD
%FC Effort Realization = (5/5) * 100 = 100%</t>
  </si>
  <si>
    <t>Resource Utilization Percentage</t>
  </si>
  <si>
    <t>Billed Effort/Total Available Effort *100</t>
  </si>
  <si>
    <t>Total Billed Effort = 120 PD
Total Available Effort = 120 PD
Resource Utilization Percentage = (120/120) * 100 = 100%</t>
  </si>
  <si>
    <t>Size Variance - Phase</t>
  </si>
  <si>
    <t>(Actual Size-Planned size)/Planned size :(Phase wise) *100</t>
  </si>
  <si>
    <t>Planned Size = 2000 SLOC
Actual Size = 2080 SLOC
Size Variance = (2080 - 2000)/2000 * 100 = 4%</t>
  </si>
  <si>
    <t>Size Variance - Project</t>
  </si>
  <si>
    <t>(Actual Size -Planned size)/Planned size : (Project wise) *100</t>
  </si>
  <si>
    <t>CSAT Coverage</t>
  </si>
  <si>
    <t>(CSAT Eligible Projects-CSAT Received Project/CSAT Eligible Projects)*100</t>
  </si>
  <si>
    <t>No. of CSAT Eligible Projects = 150
No. of CSAT Received = 140
CSAT Coverage = (150 - 140)/150 * 100= 6.7%</t>
  </si>
  <si>
    <t>CSAT Rating</t>
  </si>
  <si>
    <t xml:space="preserve">Rating Scale 1 to 5 </t>
  </si>
  <si>
    <t>Number</t>
  </si>
  <si>
    <t>Magnitude - Phase</t>
  </si>
  <si>
    <t>(Estimated Effort * % Work Completed)/Actual Effort</t>
  </si>
  <si>
    <t>Estimated Effort = 50 PD
% Work Completed = 80% = 0.8
Actual Effort = 42
Magnitude = (50 * 0.8)/38 = 0.95</t>
  </si>
  <si>
    <t>Magnitude - Project</t>
  </si>
  <si>
    <t>Release Burndown Magnitude</t>
  </si>
  <si>
    <t>Ideal Remaining Story Points in Release / Actual Remaining Story Points in Release</t>
  </si>
  <si>
    <t>Ideal Remaining Story Points = 80
Actual Remaining Story Points = 85
Burndown Magnitude = (80 / 85 ) = 0.94</t>
  </si>
  <si>
    <t>Sprint Burndown Magnitude</t>
  </si>
  <si>
    <t>Ideal Remaining Story Points in Sprint / Actual Remaining Story Points in Sprint</t>
  </si>
  <si>
    <t>On Time Delivery %</t>
  </si>
  <si>
    <t>(No. of On Time Deliveries/Total no. of deliveries made)*100</t>
  </si>
  <si>
    <t>No. of On Time Deliveries = 8
Total No. of Deliveries = 10
On Time Delivery Percentage = (8 / 10) * 100 = 80%</t>
  </si>
  <si>
    <t>Schedule Slippage - Phase</t>
  </si>
  <si>
    <t>(Actual Date of Completion - Planned Date of Completion)/Planned Duration of Phase in Calendar Days * 100</t>
  </si>
  <si>
    <t>Actual Date of Completion = 25-Sep-2019
Planned Date of Completion = 23-Sep-2019
Planned Duration = 50 Calendar Days
Schedule Slippage = (2 / 50) * 100 = 4%</t>
  </si>
  <si>
    <t>Schedule Slippage - Project</t>
  </si>
  <si>
    <t>(Actual Date of Completion - Planned Date of Completion)/Planned Duration of Project in Calendar Days * 100</t>
  </si>
  <si>
    <t>Schedule Variance - Phase</t>
  </si>
  <si>
    <t>(Actual calendar days for phase – Planned calendar days for Phase) / Planned calendar days for phase * 100</t>
  </si>
  <si>
    <t>Planned Duration = 50 Calendar Days
Actual Duration = 52 Calendar Days
Schedule Variance = (52 - 50) / 50 * 100 = 4%</t>
  </si>
  <si>
    <t>Schedule Variance - Project</t>
  </si>
  <si>
    <t>(Actual calendar days – Planned calendar days) / Planned calendar days * 100</t>
  </si>
  <si>
    <t>Average (Time the issue received - Time of issue got resolved)</t>
  </si>
  <si>
    <t>Hours</t>
  </si>
  <si>
    <t>Discrete</t>
  </si>
  <si>
    <t>Max Complexity</t>
  </si>
  <si>
    <t>Refer Katapult Guidelines</t>
  </si>
  <si>
    <t>Product</t>
  </si>
  <si>
    <t>Lower the better</t>
  </si>
  <si>
    <t>% Comments</t>
  </si>
  <si>
    <t>Lines of code as comments/ Total lines of code</t>
  </si>
  <si>
    <t>Between 20% and 50%</t>
  </si>
  <si>
    <t>% Coverage</t>
  </si>
  <si>
    <t>Number of lines of code Tested/Total lines of code executed</t>
  </si>
  <si>
    <t>% Duplication</t>
  </si>
  <si>
    <t>Duplicate blocks of code/ Total lines of code</t>
  </si>
  <si>
    <t>Build Pass %</t>
  </si>
  <si>
    <t>Number of builds successfully passed/ Number of total builds</t>
  </si>
  <si>
    <t>Higher the better</t>
  </si>
  <si>
    <t>Code Coverage (Software / Integration Test)</t>
  </si>
  <si>
    <t>Code Violation</t>
  </si>
  <si>
    <t>Compiler Warnings</t>
  </si>
  <si>
    <t>Number of compiler warnings</t>
  </si>
  <si>
    <t xml:space="preserve">Complexity of Most Complex Function </t>
  </si>
  <si>
    <t>McCabe's Cyclomatic Complexity</t>
  </si>
  <si>
    <t>Edges - Nodes + 2 X Connections</t>
  </si>
  <si>
    <t>Lead/Lag</t>
  </si>
  <si>
    <t>Poly Grey Checks</t>
  </si>
  <si>
    <t>Poly Red Checks</t>
  </si>
  <si>
    <t>Requirements Implementation Coverage</t>
  </si>
  <si>
    <t>(No. of Requirements Implemented / Total No. of Requirements) * 100</t>
  </si>
  <si>
    <t>SW Test Pass %</t>
  </si>
  <si>
    <t>Number of Test Cases Passed/ Number of Total Test Cases</t>
  </si>
  <si>
    <t>Technical Debt (Katapult)</t>
  </si>
  <si>
    <t>Person Days</t>
  </si>
  <si>
    <t>UT Pass %</t>
  </si>
  <si>
    <t>Number of Unit Test Cases Passed/ Number of Unit Total Test Cases Executed</t>
  </si>
  <si>
    <t>Delivered Defect Density - Project</t>
  </si>
  <si>
    <t>No. of Discontinuities Escaped, Reported By Customer / Total Size of the Project in KSLOC</t>
  </si>
  <si>
    <t>DE/SLOC</t>
  </si>
  <si>
    <t>DEs reported By Customer = 3
Total Size of Project = 2080 SLOC = 2.1 KSLOC
Delivered Defect Density - Project = (3/2.1) = 1.4</t>
  </si>
  <si>
    <t>Escaped Defect Density - Phase</t>
  </si>
  <si>
    <t>No. of Discontinuities Escaped In Uniphase/Total Size of the Phase in KSLOC</t>
  </si>
  <si>
    <t>DEs Reported Internally = 2
Total Size of Phase = 2080 SLOC = 2.1 KSLOC
Delivered Defect Density - Phase = (3/2.1) = 0.9</t>
  </si>
  <si>
    <t>In-Process Defect Density - Phase</t>
  </si>
  <si>
    <t>(No. of Review Defects In Uniphase + No. of Screen Discontinuities Found in Uniphase)/Size of the Uniphase</t>
  </si>
  <si>
    <t>DF/Size</t>
  </si>
  <si>
    <t>No. of Review Defects = 5
No. of Screen Defects = 4
Total Size of the Phase = 2080 SLOC = 2.1 KLOC
In-Process Defect Density - Phase = (5+4)/2.1 = 4.3</t>
  </si>
  <si>
    <t xml:space="preserve">In-Process Defect Density - Project </t>
  </si>
  <si>
    <t>(No. of Review Defects In Project + No. of Screen Discontinuities Found in Project)/Size of the Project</t>
  </si>
  <si>
    <t>No. of Review Defects = 5
No. of Screen Defects = 4
Total Size of the Project = 2080 SLOC = 2.1 KLOC
In-Process Defect Density - Project = (5+4)/2.1 = 4.3</t>
  </si>
  <si>
    <t>Delivered Defect Rate - Project</t>
  </si>
  <si>
    <t>No. of Discontinuities Escaped reported By Customer / Total Effort of the Project</t>
  </si>
  <si>
    <t>DE/PM</t>
  </si>
  <si>
    <t>DEs reported By Customer = 3
Total Effort of Project = 5.4 PM
Delivered Defect Rate - Project = (3/5.4) = 0.5</t>
  </si>
  <si>
    <t>Escaped Defect Rate - Phase</t>
  </si>
  <si>
    <t>No. of Discontinuities Escaped In Uniphase/Total Effort of the Project</t>
  </si>
  <si>
    <t>DEs reported By Customer = 3
Total Effort of Phase = 3.6 PM
Escaped Defect Rate - Phase = (3/5.4) = 0.8</t>
  </si>
  <si>
    <t>In-Process Defect Rate - Phase</t>
  </si>
  <si>
    <t>(No. of Review Defects In Uniphase + No. of Screen Discontinuities Found in Uniphase)/Effort of the Uniphase</t>
  </si>
  <si>
    <t>DF/PM</t>
  </si>
  <si>
    <t>No. of Review Defects = 5
No. of Screen Defects = 4
Total Size of the Phase = 3.6 PM
In-Process Defect Rate - Phase = (5+4)/5.4 = 2.5</t>
  </si>
  <si>
    <t xml:space="preserve">In-Process Defect Rate - Project </t>
  </si>
  <si>
    <t>(No. of Review Defects In Project + No. of Screen Discontinuities Found in Project)/Total Effort of the Project</t>
  </si>
  <si>
    <t>No. of Review Defects = 5
No. of Screen Defects = 4
Total Size of the Phase = 5.4 PM
In-Process Defect Rate - Project = (5+4)/5.4 = 1.7</t>
  </si>
  <si>
    <t>Coupling (X,Y)</t>
  </si>
  <si>
    <t>i+ (n/n+1), where n=number of interactions between X &amp; Y</t>
  </si>
  <si>
    <t>Modularity Index</t>
  </si>
  <si>
    <t>Number of Interactions among modules/Total Number of Modules</t>
  </si>
  <si>
    <t>FTR% based on External &amp; Internal RE</t>
  </si>
  <si>
    <t>100 - (Rework Effort to fix findings from Review, Screen, Katapult, Testing, Customer / Total Effort x 100)</t>
  </si>
  <si>
    <t>ASPICE Assessment Rating</t>
  </si>
  <si>
    <t>Open Red Flags</t>
  </si>
  <si>
    <t>Sum of Open Red Flags</t>
  </si>
  <si>
    <t>QA Findings Per Audit</t>
  </si>
  <si>
    <t>Sum of All QA Findings/No. of Audits</t>
  </si>
  <si>
    <t>Sum of All QA Findings = 5
Number of Audits Performed = 2
QA Findings Per Audit = (5 / 2) = 2.5</t>
  </si>
  <si>
    <t>100uS task Execution time</t>
  </si>
  <si>
    <t>Time taken to execute the 100uS task</t>
  </si>
  <si>
    <t>micro-seconds</t>
  </si>
  <si>
    <t>Ideally task execution should complete in &lt;60uS. Timing Architect tool can be used or pin toggling mechanism or debugger with trace option can be used to measure</t>
  </si>
  <si>
    <t xml:space="preserve">1mS task Execution time </t>
  </si>
  <si>
    <t>Time taken to execute the 1mS task</t>
  </si>
  <si>
    <t>milli-seconds</t>
  </si>
  <si>
    <t>Ideally task execution should complete in &lt;700uS. Timing Architect tool can be used or pin toggling mechanism or debugger with trace option can be used to measure</t>
  </si>
  <si>
    <t>Boot loading time (First frame transmission time)</t>
  </si>
  <si>
    <t>Time from the system start to first frame transmission (mS)</t>
  </si>
  <si>
    <t>Recommended value from KPIT Autosar practice 100 to 150ms.
Can be measured by toggling a pin after first frame is transmitted. Oscilloscope can be used to measure. If ECU is already running, then time between last frame successful transmission to first frame can also be measured (Excluding shutdown time). Timing Architect tool can be used to measure as well</t>
  </si>
  <si>
    <t>Boot loading time (Read all time)</t>
  </si>
  <si>
    <t>Time taken to read back from the memory (mS)</t>
  </si>
  <si>
    <t>Recommended value from KPIT Autosar practice &lt;50ms. 
Can be measured by using a 1mS timer or by toggling a pin before read all function and after read all completion. Timing Architect tool can be used to measure as well</t>
  </si>
  <si>
    <t>CPU Load</t>
  </si>
  <si>
    <t>1-(Number of processes running in the memory*Average % of time processes are waiting in I/O)</t>
  </si>
  <si>
    <t>Recommended range from KPIT Autosar practice 70-75%. 
Can be measured by pin toggling mechanism or Timing Architect tool</t>
  </si>
  <si>
    <t>RAM</t>
  </si>
  <si>
    <t>In Kilo Bytes</t>
  </si>
  <si>
    <t>Kilo Bytes</t>
  </si>
  <si>
    <t>RAM Utilization</t>
  </si>
  <si>
    <t>[Total Memory - (Free + Buffers + Cached)]/ Total Memory</t>
  </si>
  <si>
    <t>Recommended value from KPIT Autosar practice &lt;60%. 
Autosar Stack utilization measurement can be done using the Autosar OS feature. RAM utilization can be measured by using MAP file</t>
  </si>
  <si>
    <t>ROM</t>
  </si>
  <si>
    <t>ROM Utilization</t>
  </si>
  <si>
    <t>Recommended value from KPIT Autosar practice &lt;60%.
ROM utilization can be measured using MAP file</t>
  </si>
  <si>
    <t>Throughput</t>
  </si>
  <si>
    <t>Percentage</t>
  </si>
  <si>
    <t>Write all time</t>
  </si>
  <si>
    <t>Time taken to write back to the memory (mS)</t>
  </si>
  <si>
    <t>Recommended value from KPIT Autosar practice 50 to 100ms. 
Can be measured by using a 1mS timer or by toggling a pin before write all function and after write all completion. Timing Architect tool can be used to measure as well</t>
  </si>
  <si>
    <t>Reopened Tickets%</t>
  </si>
  <si>
    <t xml:space="preserve">Number of tickets reopened/ Total tickets  </t>
  </si>
  <si>
    <t>Average Defects per Configurable items</t>
  </si>
  <si>
    <t>(Number of Review Defects ÷ Number of Configurable items Reviewed)</t>
  </si>
  <si>
    <t>Defects / Configurable items</t>
  </si>
  <si>
    <t>Can be higher when team/ project is new or new module is introduced. Should decrease over time</t>
  </si>
  <si>
    <t>Configurable items sent without review - Phase</t>
  </si>
  <si>
    <t>Configurable items released without review/ Total no. of Configurable items eligible for review</t>
  </si>
  <si>
    <t>Configurable items without technical findings</t>
  </si>
  <si>
    <t>Configurable items without technical findings/ Total no. of Configurable items eligible for review</t>
  </si>
  <si>
    <t>Review coverage</t>
  </si>
  <si>
    <t>Number of Configurable items released with review/ Total Configurable items eligible for review</t>
  </si>
  <si>
    <t>Review Defects Severity</t>
  </si>
  <si>
    <t>(Number of Severe Review Defects ÷ Total Number of Review Defects)</t>
  </si>
  <si>
    <t>Review Effectiveness - Phase</t>
  </si>
  <si>
    <t>Review Defects In Uniphase /(Discontinuities Escaped+Screen Discontinuities Found+Review Defects) * 100</t>
  </si>
  <si>
    <t>No. of Review Defects = 5
No. of Screen Defects = 4
No. of Discontinuities Escaped from Phase = 3
Review Effectiveness - Phase = 5/(5+4+3) * 100 = 40%</t>
  </si>
  <si>
    <t>Review Effectiveness - Project</t>
  </si>
  <si>
    <t>Review Defects In Project /(Discontinuities Escaped+Screen Discontinuities Found+Review Defects) * 100</t>
  </si>
  <si>
    <t>No. of Review Defects = 5
No. of Screen Defects = 4
No. of Discontinuities Escaped from Project = 3
Review Effectiveness - Project = 5/(5+4+3) * 100 = 40%</t>
  </si>
  <si>
    <t>Screen Effectiveness - Phase</t>
  </si>
  <si>
    <t>Screen Discontinuities Found in Uniphase)/(Discontinuities Escaped+Screen Discontinuities Found) * 100</t>
  </si>
  <si>
    <t>No. of Review Defects = 5
No. of Screen Defects = 4
No. of Discontinuities Escaped from Phase = 3
Screen Effectiveness - Phase = 4/(5+4+3) * 100 = 33%</t>
  </si>
  <si>
    <t>Technical Findings % - Phase</t>
  </si>
  <si>
    <t>No. of Technical findings in the review/ Total findings in the Uniphase</t>
  </si>
  <si>
    <t>% Requirements Covered</t>
  </si>
  <si>
    <t>(No. of Requirements Implemented in Test Cases / Total No. of Requirements) * 100</t>
  </si>
  <si>
    <t>Test Automation coverage</t>
  </si>
  <si>
    <t>Number of Test cases automated/ number of total test cases</t>
  </si>
  <si>
    <t>Use Case - Test Coverage</t>
  </si>
  <si>
    <t>Number of use cases covered by test cases</t>
  </si>
  <si>
    <t>Use Case-Requirements Coverage</t>
  </si>
  <si>
    <t>Number of requirements traced to use cases</t>
  </si>
  <si>
    <t>False Fail In Automation</t>
  </si>
  <si>
    <t>Number of False Fail Reported from Automation ÷ Total Number of Automation Script Executed</t>
  </si>
  <si>
    <t>False Pass In Automation</t>
  </si>
  <si>
    <t>Number of False Pass Reported from Automation ÷ Total Number of Automation Script Executed</t>
  </si>
  <si>
    <t>d</t>
  </si>
  <si>
    <t>Mean time between failures (MTBF)</t>
  </si>
  <si>
    <t>Number of Hours Stability Test Executed ÷ Number of Stability Issues</t>
  </si>
  <si>
    <t>c</t>
  </si>
  <si>
    <t>Negative Test Cases%</t>
  </si>
  <si>
    <t>Number of Test Case Objectives/scenarios Marked as Negative Scenarios/ Total Test Cases</t>
  </si>
  <si>
    <t>b</t>
  </si>
  <si>
    <t>Positive Test Cases%</t>
  </si>
  <si>
    <t>Number of Test Case objectives/scenarios Marked as Positive Scenarios/ Total Test Cases</t>
  </si>
  <si>
    <t>a</t>
  </si>
  <si>
    <t>Reliability Index</t>
  </si>
  <si>
    <t>1 - (Number of Failed Executions/Total Number Execution Attempts)</t>
  </si>
  <si>
    <t>Test Pass Rate</t>
  </si>
  <si>
    <t>Number of test cases passed/ Total number of test cases</t>
  </si>
  <si>
    <t>Total Test Cases</t>
  </si>
  <si>
    <t>Number of Test Case objectives/scenarios</t>
  </si>
  <si>
    <t>ZDD%</t>
  </si>
  <si>
    <t>(No. of defect free deliveries/Total no. of deliveries made) * 100</t>
  </si>
  <si>
    <t>No. of Defect Free Deliveries = 8
Total No. of Deliveries = 10
Zero Defect Delivery Percentage = (8 / 10) * 100 = 80%</t>
  </si>
  <si>
    <t>ZDD% based on External RE</t>
  </si>
  <si>
    <t>100 - (Rework Effort to fix findings from Customer / Total Effort x 100)</t>
  </si>
  <si>
    <t>Role Grade Mapping</t>
  </si>
  <si>
    <t>A Grade</t>
  </si>
  <si>
    <t>B Grade</t>
  </si>
  <si>
    <t>C Grade</t>
  </si>
  <si>
    <t>D Grade</t>
  </si>
  <si>
    <t>E Grade</t>
  </si>
  <si>
    <t>F Grade</t>
  </si>
  <si>
    <t>G Grade</t>
  </si>
  <si>
    <t>H Grade</t>
  </si>
  <si>
    <t>I Grade</t>
  </si>
  <si>
    <t>J Grade</t>
  </si>
  <si>
    <t>K Grade</t>
  </si>
  <si>
    <t>L Grade</t>
  </si>
  <si>
    <t>EM Grade</t>
  </si>
  <si>
    <t>Practice</t>
  </si>
  <si>
    <t>Trainee</t>
  </si>
  <si>
    <t>Software Engineer/
Practice Assistant</t>
  </si>
  <si>
    <t>Sr. Software Engineer/
Junior Practice Analyst</t>
  </si>
  <si>
    <t>Technical Leader/
Practice Analyst</t>
  </si>
  <si>
    <t>Sr. Technical Leader/
Junior Practice Coordinator/
Engineer Senior I</t>
  </si>
  <si>
    <t>Designer</t>
  </si>
  <si>
    <t xml:space="preserve">
Senior Designer/
Solution Architect/
Subject Matter Expert</t>
  </si>
  <si>
    <t xml:space="preserve">
Sr. Solution Architect/
Subject Matter Expert</t>
  </si>
  <si>
    <t>Senior Practice Director/
Solutions Director</t>
  </si>
  <si>
    <t>Associate Vice President/
Associate Vice President - Practice Head/
Practice Head/
Associate Partner</t>
  </si>
  <si>
    <t>Consulting Partner/
Practice Head/
Vice President/
Vice President – CTO/
Vice President - Practice Head/
Vice President - Practice Head</t>
  </si>
  <si>
    <t>Managing Partner/
Sr. Vice President</t>
  </si>
  <si>
    <t>Associate Practice Director/</t>
  </si>
  <si>
    <t>Practice Director/
Practice Director - IoT/
Practice Manager/</t>
  </si>
  <si>
    <t>Development Specialist</t>
  </si>
  <si>
    <t>Sr. Development Specialist</t>
  </si>
  <si>
    <t>Expert Developer</t>
  </si>
  <si>
    <t>Test Engineer</t>
  </si>
  <si>
    <t>Sr. Test Engineer</t>
  </si>
  <si>
    <t>Test Leader</t>
  </si>
  <si>
    <t>Sr. Test Leader</t>
  </si>
  <si>
    <t>Associate Test Manager</t>
  </si>
  <si>
    <t>Test Manager</t>
  </si>
  <si>
    <t>Program Manager - Testing</t>
  </si>
  <si>
    <t>Sr. Program Manager - Testing</t>
  </si>
  <si>
    <t>COE Head</t>
  </si>
  <si>
    <t>Architecture</t>
  </si>
  <si>
    <t>Associate Solution Architect</t>
  </si>
  <si>
    <t>Solution Architect</t>
  </si>
  <si>
    <t>Sr. Solution Architect</t>
  </si>
  <si>
    <t>Principal Solution Architect</t>
  </si>
  <si>
    <t>Chief Architect</t>
  </si>
  <si>
    <t>Managerial</t>
  </si>
  <si>
    <t>Associate Manager</t>
  </si>
  <si>
    <t>Manager</t>
  </si>
  <si>
    <t>Senior Manager</t>
  </si>
  <si>
    <t>Associate Director, Delivery/
Associate Director</t>
  </si>
  <si>
    <t>Director/
Director Delivery</t>
  </si>
  <si>
    <t>Associate Vice President/
Associate Vice President, Delivery Head</t>
  </si>
  <si>
    <t>Vice President - Business Leader/
Vice President - Global Business Leader/
Vice President - Global Industry Leader/
Vice President - SBU Head/
Vice President - Vertical Delivery Head/
Consulting Partner</t>
  </si>
  <si>
    <t>Sr. Vice President - Global Head SBU/
Managing Partner</t>
  </si>
  <si>
    <t>President - Global SBU Head</t>
  </si>
  <si>
    <t>Role-Grade Wise Competency Profiles</t>
  </si>
  <si>
    <t>1 - Beginner (Needs Guidance)</t>
  </si>
  <si>
    <t>2 - User (Can do independently)</t>
  </si>
  <si>
    <t>3 - Expert (Can teach/guide others)</t>
  </si>
  <si>
    <t>Skill Group</t>
  </si>
  <si>
    <t>Skill Sub-Group</t>
  </si>
  <si>
    <t>Skill Name</t>
  </si>
  <si>
    <t>DeveloperGrade A</t>
  </si>
  <si>
    <t>DeveloperGrade B</t>
  </si>
  <si>
    <t>DeveloperGrade C</t>
  </si>
  <si>
    <t>DeveloperGrade D</t>
  </si>
  <si>
    <t>DeveloperGrade E</t>
  </si>
  <si>
    <t>TesterGrade A</t>
  </si>
  <si>
    <t>TesterGrade B</t>
  </si>
  <si>
    <t>TesterGrade C</t>
  </si>
  <si>
    <t>TesterGrade D</t>
  </si>
  <si>
    <t>TesterGrade E</t>
  </si>
  <si>
    <t>SMEGrade E</t>
  </si>
  <si>
    <t>SMEGrade F</t>
  </si>
  <si>
    <t>SMEGrade G</t>
  </si>
  <si>
    <t>SMEGrade H</t>
  </si>
  <si>
    <t>Project LeadGrade E</t>
  </si>
  <si>
    <t>Project LeadGrade F</t>
  </si>
  <si>
    <t>Project ManagerGrade G</t>
  </si>
  <si>
    <t>Program ManagerGrade H</t>
  </si>
  <si>
    <t>Scrum MasterGrade F</t>
  </si>
  <si>
    <t>Scrum MasterGrade G</t>
  </si>
  <si>
    <t>Product OwnerGrade F</t>
  </si>
  <si>
    <t>Product OwnerGrade G</t>
  </si>
  <si>
    <t>Primary</t>
  </si>
  <si>
    <t>Programming Languages</t>
  </si>
  <si>
    <t>Embedded C</t>
  </si>
  <si>
    <t>C++</t>
  </si>
  <si>
    <t>Java</t>
  </si>
  <si>
    <t>C#</t>
  </si>
  <si>
    <t xml:space="preserve">XTend </t>
  </si>
  <si>
    <t>Scripting &amp; Tools</t>
  </si>
  <si>
    <t>Python</t>
  </si>
  <si>
    <t>Pearl</t>
  </si>
  <si>
    <t>Shell</t>
  </si>
  <si>
    <t>Bash, Bash</t>
  </si>
  <si>
    <t>CAPL</t>
  </si>
  <si>
    <t>SDLC</t>
  </si>
  <si>
    <t>Requirements Engineering/Management</t>
  </si>
  <si>
    <t>Requirements Management Tools like DOORS/DNG/PTC/Etc.</t>
  </si>
  <si>
    <t>Design Engineering</t>
  </si>
  <si>
    <t>OOD - Design Patterns</t>
  </si>
  <si>
    <t>OOD - UML &amp; Tools Like EA, Rhapsody, etc.</t>
  </si>
  <si>
    <t>Continuous Integration using CBA/Katapault/etc</t>
  </si>
  <si>
    <t>Static Analysis using tools like QAC, Polyspace, etc.)</t>
  </si>
  <si>
    <t>Automotive Domain</t>
  </si>
  <si>
    <t>Communication Protocols (CAN/LIN/Flexray/Ethernet/etc.) &amp; Tools CANoe/VSPY/Etc.</t>
  </si>
  <si>
    <t>Diagnostic Services &amp; Protocols (UDS)</t>
  </si>
  <si>
    <t>Embedded Systems</t>
  </si>
  <si>
    <t>Microcontrollers</t>
  </si>
  <si>
    <t>Multicore Processors</t>
  </si>
  <si>
    <t>STLC</t>
  </si>
  <si>
    <t>Knowledge of Testing Life Cycle</t>
  </si>
  <si>
    <t>Test Case Design &amp; Development</t>
  </si>
  <si>
    <t>Test Automation Development</t>
  </si>
  <si>
    <t>Test Management Tools like RQM, HPQC, etc.)</t>
  </si>
  <si>
    <t>White Box Testing</t>
  </si>
  <si>
    <t xml:space="preserve">Unit Testing </t>
  </si>
  <si>
    <t>Unit Testing Tools like RTRT, CANTATA etc.)</t>
  </si>
  <si>
    <t>Black Box Testing</t>
  </si>
  <si>
    <t xml:space="preserve">Manual Test Execution </t>
  </si>
  <si>
    <t>Vehicle Testing</t>
  </si>
  <si>
    <t>Standards &amp; Tools</t>
  </si>
  <si>
    <t>Automotive SPICE</t>
  </si>
  <si>
    <t>Knowledge of SDLC</t>
  </si>
  <si>
    <t>ISO SQuARE</t>
  </si>
  <si>
    <t>MS Office (Word/Excel/PPT/etc.)</t>
  </si>
  <si>
    <t>KPIT Process</t>
  </si>
  <si>
    <t>Basic SDPM</t>
  </si>
  <si>
    <t>Advanced SDPM</t>
  </si>
  <si>
    <t>KPIT Tools (UniPro/DRONA/KAP/CBA/etc.)</t>
  </si>
  <si>
    <t>Product Reviews &amp; Inspections (Screen)</t>
  </si>
  <si>
    <t>Conf. Mgmt &amp; Version Control Using tools like SVN, GIT, RTC, etc.</t>
  </si>
  <si>
    <t>Process Consultancy</t>
  </si>
  <si>
    <t>Process Audits</t>
  </si>
  <si>
    <t xml:space="preserve">Process Compliance &amp; Consultancy </t>
  </si>
  <si>
    <t>Process Authoring</t>
  </si>
  <si>
    <t>Process Authoring Tools (EPF/HTML/Sharepoint/etc.)</t>
  </si>
  <si>
    <t>Project Management</t>
  </si>
  <si>
    <t>Size &amp; Effort Estimation</t>
  </si>
  <si>
    <t>Task Planning &amp; Tracking</t>
  </si>
  <si>
    <t>Project's Process Definition</t>
  </si>
  <si>
    <t>Integrated Project Planning</t>
  </si>
  <si>
    <t>Risk Management</t>
  </si>
  <si>
    <t>Microsoft Project</t>
  </si>
  <si>
    <t>KPIT Way</t>
  </si>
  <si>
    <t xml:space="preserve">EPMN </t>
  </si>
  <si>
    <t>Wide Band Delphi Estimation Process</t>
  </si>
  <si>
    <t>ALM Tools (KAP-Redmine/JIRA/RTC/Etc.)</t>
  </si>
  <si>
    <t>Oral &amp; Written Communication</t>
  </si>
  <si>
    <t>Interpersonal</t>
  </si>
  <si>
    <t>Conflict Resolution</t>
  </si>
  <si>
    <t>Specialization</t>
  </si>
  <si>
    <t>Analytical Ability</t>
  </si>
  <si>
    <t>Business Etiquettes</t>
  </si>
  <si>
    <t>Can Do Attitude</t>
  </si>
  <si>
    <t>Model Based Development</t>
  </si>
  <si>
    <t>Control Algorithm Development</t>
  </si>
  <si>
    <t>Plant Modelling &amp; Simulation (GT Power, Matlab, AMESim, etc.)</t>
  </si>
  <si>
    <t xml:space="preserve">MATLAB® Simulink® </t>
  </si>
  <si>
    <t>MATLAB® M-Scripts</t>
  </si>
  <si>
    <t xml:space="preserve">Auto Code Generation using RTW®/TargetLink® </t>
  </si>
  <si>
    <t>Model Based Testing</t>
  </si>
  <si>
    <t>MIL, SIL Testing</t>
  </si>
  <si>
    <t>PIL Testing</t>
  </si>
  <si>
    <t>HIL Setup using dSPACE/NI/etc.</t>
  </si>
  <si>
    <t>HIL Testing</t>
  </si>
  <si>
    <t>System Engineering</t>
  </si>
  <si>
    <t>Knowledge of Systems Life Cycle</t>
  </si>
  <si>
    <t>Requirements Elicitation</t>
  </si>
  <si>
    <t>Functional Analysis/Requirements Analysis</t>
  </si>
  <si>
    <t>System Architecture &amp; Design</t>
  </si>
  <si>
    <t>ISO 15288 /INCOSE SE Handbook</t>
  </si>
  <si>
    <t>MBSE &amp; SysML using Tools like Rhapsody/EA/PTC Modeller/Etc.</t>
  </si>
  <si>
    <t>System Verification &amp; Validation (Testing)</t>
  </si>
  <si>
    <t>System Validation (&amp; Scenario Development) using Simulation tools like CarMaker/CarSim/TruckSim/CARLA/etc.</t>
  </si>
  <si>
    <t>Calibration Engineering &amp; Tools Like INCA/VISU/CAMEO/Creta/etc.</t>
  </si>
  <si>
    <t>Knowledge of Safety Life Cycle</t>
  </si>
  <si>
    <t>Safety/Security Planning</t>
  </si>
  <si>
    <t>Item Definition</t>
  </si>
  <si>
    <t>System Risk Assessment</t>
  </si>
  <si>
    <t xml:space="preserve">Safety Analysis &amp; Requirements </t>
  </si>
  <si>
    <t>Security Analysis &amp; Requirements</t>
  </si>
  <si>
    <t>FMEA/FTA</t>
  </si>
  <si>
    <t>Safety Validation</t>
  </si>
  <si>
    <t>PEN Testing</t>
  </si>
  <si>
    <t>Account Management</t>
  </si>
  <si>
    <t>Technology Scanning(Scouting)</t>
  </si>
  <si>
    <t>Team Management &amp; Mentoring</t>
  </si>
  <si>
    <t>Customer Management</t>
  </si>
  <si>
    <t>Cost Management (Forecasting, Planning, etc.)</t>
  </si>
  <si>
    <t>Technology Management (Forecasting, Planning, etc.)</t>
  </si>
  <si>
    <t>New Business Generation</t>
  </si>
  <si>
    <t>Succesion Planning</t>
  </si>
  <si>
    <t>PF/NOS/AUTOSAR</t>
  </si>
  <si>
    <t>Knowledge of AUTOSAR/NOS</t>
  </si>
  <si>
    <t>Driver &amp; Low Level Software Development</t>
  </si>
  <si>
    <t>Serial Communications (Like UART/SPI/I2C, Etc.)</t>
  </si>
  <si>
    <t>Operating Systems Development, RTOS/AUTOSAR OS/Linux/Etc.</t>
  </si>
  <si>
    <t>Scripting Languages Pearl/Python/Xtend etc.</t>
  </si>
  <si>
    <t>Communcation SW Development (CAN/LIN/Ethernet/Flexray/etc.)</t>
  </si>
  <si>
    <t>Network Layers SW Development (OSI)</t>
  </si>
  <si>
    <t>Diagnostics SW Development</t>
  </si>
  <si>
    <t>KPIT AUTOSAR Tool Chain</t>
  </si>
  <si>
    <t>Knowledge of Powertrain System &amp; Functions</t>
  </si>
  <si>
    <t>Knowledge of Vehicle &amp; PT Dynamics</t>
  </si>
  <si>
    <t>Propulsion System &amp; Engine Control Modules</t>
  </si>
  <si>
    <t>Transmission System &amp; Types</t>
  </si>
  <si>
    <t>PT Sensors &amp; Actuators</t>
  </si>
  <si>
    <t>PT System Troubleshooting</t>
  </si>
  <si>
    <t>Engine Subsystems like (Fuel, Cooling, Air Intake, etc.)</t>
  </si>
  <si>
    <t>After Treatment System &amp; Its Components like (DOC, DPF, SCR, etc.</t>
  </si>
  <si>
    <t>Knowledge of PT Standards &amp; Regulations like (Emission, Noise, Performance, etc.)</t>
  </si>
  <si>
    <t>Knowledge of Electrification Functions</t>
  </si>
  <si>
    <t>Battery Management</t>
  </si>
  <si>
    <t>Electrical Propulsion System</t>
  </si>
  <si>
    <t>Motors (AC/DC)</t>
  </si>
  <si>
    <t>Electrical Power Engineering &amp; Power Electronics</t>
  </si>
  <si>
    <t>Vehicle Level Electrical Architecture</t>
  </si>
  <si>
    <t>Charging Systems</t>
  </si>
  <si>
    <t>Knowledge of ePT Standards &amp; Regulations</t>
  </si>
  <si>
    <t>AD - Domain</t>
  </si>
  <si>
    <t>Driving Strategy</t>
  </si>
  <si>
    <t>Trajectory Planning</t>
  </si>
  <si>
    <t>Driver Model</t>
  </si>
  <si>
    <t>Road Model</t>
  </si>
  <si>
    <t>ADAS HD Map</t>
  </si>
  <si>
    <t>Object Fusion</t>
  </si>
  <si>
    <t>Perception &amp; Localisation</t>
  </si>
  <si>
    <t>Prediction Sit. Interpretation</t>
  </si>
  <si>
    <t>AD - Overarching Skills</t>
  </si>
  <si>
    <t>Functional Safety</t>
  </si>
  <si>
    <t>AI/ML</t>
  </si>
  <si>
    <t>C++ Development</t>
  </si>
  <si>
    <t>Domain Specific</t>
  </si>
  <si>
    <t>SW Devlopment (Summary level Skill)</t>
  </si>
  <si>
    <t>ROS (Robotic Operating System) Knowledge</t>
  </si>
  <si>
    <t>Cyber Security</t>
  </si>
  <si>
    <t>UX/HMI</t>
  </si>
  <si>
    <t>Verification &amp; Validation</t>
  </si>
  <si>
    <t>Big Data</t>
  </si>
  <si>
    <t>Simulation (Carmaker, etc.)</t>
  </si>
  <si>
    <t>AUTOSAR</t>
  </si>
  <si>
    <t xml:space="preserve">Build &amp; Integration </t>
  </si>
  <si>
    <t>Image Processing</t>
  </si>
  <si>
    <t>RADAR/LIDAR SW Development</t>
  </si>
  <si>
    <t>Camera SW Development</t>
  </si>
  <si>
    <t>CV Common Skills</t>
  </si>
  <si>
    <t>HMI Development</t>
  </si>
  <si>
    <t>HMI Development - Android Framework</t>
  </si>
  <si>
    <t>HMI Development - 2D - Qt/QML, Altia, CGI, Kanzi, Populous, Unity, EB Guide etc</t>
  </si>
  <si>
    <t>HMI Development - 3D - Qt/QML, Altia, CGI, Kanzi</t>
  </si>
  <si>
    <t>Languages</t>
  </si>
  <si>
    <t>iOS Programming - Objective C</t>
  </si>
  <si>
    <t>Application Development</t>
  </si>
  <si>
    <t>Application Development - Android</t>
  </si>
  <si>
    <t>Application Development - iOS</t>
  </si>
  <si>
    <t>Middleware Development</t>
  </si>
  <si>
    <t>MW development - Infotainment, RSE</t>
  </si>
  <si>
    <t>MW Development - Cluster, HUD</t>
  </si>
  <si>
    <t>System Programming</t>
  </si>
  <si>
    <t>Linux - BSP/Driver Development</t>
  </si>
  <si>
    <t>Linux - Kernel Development</t>
  </si>
  <si>
    <t>Android - HAL Development</t>
  </si>
  <si>
    <t>Infotainment - Sub Domains</t>
  </si>
  <si>
    <t xml:space="preserve">Graphics Frameworks/Management </t>
  </si>
  <si>
    <t xml:space="preserve">Audio Frameworks/Management </t>
  </si>
  <si>
    <t>Media Frameworks/Management</t>
  </si>
  <si>
    <t>Projection Frameworks/Management (Android Auto, Carplay, Baidu)</t>
  </si>
  <si>
    <t>OTA Frameworks/Management</t>
  </si>
  <si>
    <t>Video Frameworks/Management</t>
  </si>
  <si>
    <t>Tuner ( AM, FM, RDS, DAB, HD Radio)</t>
  </si>
  <si>
    <t>Connectivity - Bluetooth</t>
  </si>
  <si>
    <t>Connectivity - Wifi</t>
  </si>
  <si>
    <t>Cluster HUD Sub-Domains</t>
  </si>
  <si>
    <t>CAN Stack</t>
  </si>
  <si>
    <t>Cluster funtions - Gauges,Telltale,Trip etc</t>
  </si>
  <si>
    <t>HMI frameworks/Management</t>
  </si>
  <si>
    <t>BSP- PWM,SPI,ADC etc</t>
  </si>
  <si>
    <t>AUTOSAR based application development</t>
  </si>
  <si>
    <t>Cluster/HUD Diagnostics</t>
  </si>
  <si>
    <t>V2X</t>
  </si>
  <si>
    <t>Knowledge of V2X Functions</t>
  </si>
  <si>
    <t>GPRS &amp; Telematics</t>
  </si>
  <si>
    <t>DSRC</t>
  </si>
  <si>
    <t>5G</t>
  </si>
  <si>
    <t>Vehicle Systems - Body</t>
  </si>
  <si>
    <t xml:space="preserve">Knowledge of Body Functions </t>
  </si>
  <si>
    <t>Low power motor control</t>
  </si>
  <si>
    <t>Communication Switches</t>
  </si>
  <si>
    <t>Lighting</t>
  </si>
  <si>
    <t>Access Control</t>
  </si>
  <si>
    <t>Knowledge of Chassis Functions</t>
  </si>
  <si>
    <t>Damping</t>
  </si>
  <si>
    <t xml:space="preserve">Suspension </t>
  </si>
  <si>
    <t>Compressor</t>
  </si>
  <si>
    <t>Breaking System</t>
  </si>
  <si>
    <t>Steering System</t>
  </si>
  <si>
    <t>Wheels (Axles, Tyres, Differential, etc.)</t>
  </si>
  <si>
    <t>Knowledge of Vehicle Dynamics</t>
  </si>
  <si>
    <t>Knowledge of Agile Concepts &amp; Frameworks</t>
  </si>
  <si>
    <t>Agile Product Planning</t>
  </si>
  <si>
    <t>TDD/BDD</t>
  </si>
  <si>
    <t>Evolutionary Design</t>
  </si>
  <si>
    <t xml:space="preserve">Agile Estimation Techniques </t>
  </si>
  <si>
    <t>Scrum Planning &amp; Facilitation</t>
  </si>
  <si>
    <t>Coaching &amp; Mentoring</t>
  </si>
  <si>
    <t>Programming Language (Java/C#.NET/VB.NET/Etc.)</t>
  </si>
  <si>
    <t>RDBMS (Oracle/MS-SQL/MySQL/etc.)</t>
  </si>
  <si>
    <t>DevOps Developments (Jenkins/etc.)</t>
  </si>
  <si>
    <t>UI Development &amp; UX</t>
  </si>
  <si>
    <t>ALM Installation &amp; Configuration (Redmine/RTC/JIRA/Etc.)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</si>
</sst>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_ "/>
  </numFmts>
  <fonts count="44">
    <font>
      <sz val="11"/>
      <color theme="1"/>
      <name val="Work Sans"/>
      <family val="2"/>
      <scheme val="minor"/>
    </font>
    <font>
      <sz val="11"/>
      <color theme="0"/>
      <name val="Work Sans"/>
      <family val="2"/>
      <scheme val="minor"/>
    </font>
    <font>
      <sz val="11"/>
      <name val="Work Sans"/>
      <family val="2"/>
      <scheme val="minor"/>
    </font>
    <font>
      <sz val="10"/>
      <name val="Arial"/>
      <family val="2"/>
    </font>
    <font>
      <sz val="10"/>
      <name val="Arial"/>
      <family val="2"/>
    </font>
    <font>
      <sz val="10"/>
      <name val="Work Sans"/>
      <scheme val="major"/>
    </font>
    <font>
      <sz val="11"/>
      <color theme="1"/>
      <name val="Work Sans"/>
      <scheme val="major"/>
    </font>
    <font>
      <sz val="11"/>
      <color theme="1"/>
      <name val="Work Sans"/>
      <family val="2"/>
      <scheme val="minor"/>
    </font>
    <font>
      <b/>
      <sz val="16"/>
      <color theme="0"/>
      <name val="Work Sans"/>
      <scheme val="minor"/>
    </font>
    <font>
      <b/>
      <sz val="9"/>
      <color indexed="81"/>
      <name val="Tahoma"/>
      <family val="2"/>
    </font>
    <font>
      <sz val="9"/>
      <color indexed="81"/>
      <name val="Tahoma"/>
      <family val="2"/>
    </font>
    <font>
      <b/>
      <sz val="14"/>
      <color theme="1"/>
      <name val="Work Sans"/>
      <scheme val="minor"/>
    </font>
    <font>
      <b/>
      <sz val="14"/>
      <name val="Work Sans"/>
      <scheme val="minor"/>
    </font>
    <font>
      <sz val="16"/>
      <color theme="0"/>
      <name val="Work Sans"/>
      <scheme val="minor"/>
    </font>
    <font>
      <sz val="14"/>
      <color theme="1"/>
      <name val="Work Sans"/>
      <family val="2"/>
      <scheme val="minor"/>
    </font>
    <font>
      <b/>
      <sz val="12"/>
      <color theme="1"/>
      <name val="Work Sans"/>
      <family val="2"/>
      <scheme val="minor"/>
    </font>
    <font>
      <sz val="10"/>
      <color rgb="FFFF0000"/>
      <name val="Work Sans"/>
      <scheme val="major"/>
    </font>
    <font>
      <b/>
      <sz val="18"/>
      <color theme="0"/>
      <name val="Nunito"/>
    </font>
    <font>
      <sz val="12"/>
      <name val="Nunito"/>
    </font>
    <font>
      <b/>
      <sz val="12"/>
      <name val="Nunito"/>
    </font>
    <font>
      <b/>
      <sz val="12"/>
      <color rgb="FFFF0000"/>
      <name val="Nunito"/>
    </font>
    <font>
      <sz val="11"/>
      <color theme="1"/>
      <name val="Nunito"/>
    </font>
    <font>
      <b/>
      <sz val="11"/>
      <color theme="1"/>
      <name val="Nunito"/>
    </font>
    <font>
      <u/>
      <sz val="11"/>
      <color rgb="FF0000FF"/>
      <name val="Work Sans"/>
      <family val="2"/>
      <scheme val="minor"/>
    </font>
    <font>
      <sz val="14"/>
      <color indexed="9"/>
      <name val="Nunito"/>
    </font>
    <font>
      <sz val="11"/>
      <color theme="9"/>
      <name val="Nunito"/>
    </font>
    <font>
      <i/>
      <sz val="11"/>
      <color theme="1"/>
      <name val="Nunito"/>
    </font>
    <font>
      <i/>
      <sz val="11"/>
      <name val="Nunito"/>
    </font>
    <font>
      <i/>
      <sz val="10"/>
      <color theme="1"/>
      <name val="Nunito"/>
    </font>
    <font>
      <sz val="10"/>
      <name val="Nunito"/>
    </font>
    <font>
      <sz val="14"/>
      <name val="Nunito"/>
    </font>
    <font>
      <sz val="11"/>
      <name val="ＭＳ Ｐゴシック"/>
      <family val="3"/>
      <charset val="128"/>
    </font>
    <font>
      <sz val="10"/>
      <name val="ＭＳ Ｐ明朝"/>
      <family val="1"/>
      <charset val="128"/>
    </font>
    <font>
      <sz val="9"/>
      <name val="Nunito"/>
    </font>
    <font>
      <b/>
      <sz val="14"/>
      <color indexed="9"/>
      <name val="Nunito"/>
    </font>
    <font>
      <b/>
      <sz val="12"/>
      <color indexed="9"/>
      <name val="Nunito"/>
    </font>
    <font>
      <i/>
      <sz val="11"/>
      <color rgb="FFFF0000"/>
      <name val="Nunito"/>
    </font>
    <font>
      <sz val="11"/>
      <name val="Nunito"/>
    </font>
    <font>
      <sz val="8"/>
      <name val="Work Sans"/>
      <family val="2"/>
      <scheme val="minor"/>
    </font>
    <font>
      <b/>
      <sz val="11"/>
      <color rgb="FFFFFFFF"/>
      <name val="Nunito"/>
    </font>
    <font>
      <b/>
      <sz val="14"/>
      <color theme="0"/>
      <name val="Nunito"/>
    </font>
    <font>
      <b/>
      <sz val="16"/>
      <color theme="0"/>
      <name val="Nunito"/>
    </font>
    <font>
      <sz val="12"/>
      <color rgb="FFFF9900"/>
      <name val="Nunito"/>
    </font>
    <font>
      <sz val="9"/>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theme="7"/>
        <bgColor indexed="64"/>
      </patternFill>
    </fill>
    <fill>
      <patternFill patternType="solid">
        <fgColor rgb="FFFFFF00"/>
        <bgColor indexed="64"/>
      </patternFill>
    </fill>
    <fill>
      <patternFill patternType="solid">
        <fgColor rgb="FFE0FFC1"/>
        <bgColor indexed="64"/>
      </patternFill>
    </fill>
    <fill>
      <patternFill patternType="solid">
        <fgColor rgb="FFFF00FF"/>
        <bgColor indexed="64"/>
      </patternFill>
    </fill>
    <fill>
      <patternFill patternType="solid">
        <fgColor theme="1" tint="0.249977111117893"/>
        <bgColor indexed="64"/>
      </patternFill>
    </fill>
    <fill>
      <patternFill patternType="solid">
        <fgColor rgb="FFFFC000"/>
        <bgColor indexed="64"/>
      </patternFill>
    </fill>
    <fill>
      <patternFill patternType="solid">
        <fgColor theme="0" tint="-0.499984740745262"/>
        <bgColor indexed="64"/>
      </patternFill>
    </fill>
    <fill>
      <patternFill patternType="solid">
        <fgColor rgb="FF00B0F0"/>
        <bgColor indexed="64"/>
      </patternFill>
    </fill>
    <fill>
      <patternFill patternType="solid">
        <fgColor rgb="FF00FFCC"/>
        <bgColor indexed="64"/>
      </patternFill>
    </fill>
    <fill>
      <patternFill patternType="solid">
        <fgColor theme="0"/>
        <bgColor auto="1"/>
      </patternFill>
    </fill>
    <fill>
      <patternFill patternType="solid">
        <fgColor rgb="FFFFFFFF"/>
        <bgColor rgb="FFFFFFCC"/>
      </patternFill>
    </fill>
    <fill>
      <patternFill patternType="solid">
        <fgColor rgb="FFFF0000"/>
        <bgColor indexed="64"/>
      </patternFill>
    </fill>
    <fill>
      <patternFill patternType="solid">
        <fgColor indexed="9"/>
        <bgColor indexed="64"/>
      </patternFill>
    </fill>
    <fill>
      <patternFill patternType="solid">
        <fgColor rgb="FFFFFFFF"/>
        <bgColor rgb="FF000000"/>
      </patternFill>
    </fill>
  </fills>
  <borders count="6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auto="1"/>
      </top>
      <bottom style="thin">
        <color auto="1"/>
      </bottom>
      <diagonal/>
    </border>
    <border>
      <left style="thin">
        <color indexed="64"/>
      </left>
      <right/>
      <top style="medium">
        <color indexed="64"/>
      </top>
      <bottom style="thin">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style="thin">
        <color indexed="64"/>
      </top>
      <bottom/>
      <diagonal/>
    </border>
    <border>
      <left/>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indexed="64"/>
      </left>
      <right/>
      <top style="thin">
        <color theme="1"/>
      </top>
      <bottom style="thin">
        <color indexed="64"/>
      </bottom>
      <diagonal/>
    </border>
    <border>
      <left/>
      <right style="thin">
        <color indexed="64"/>
      </right>
      <top style="thin">
        <color theme="1"/>
      </top>
      <bottom style="thin">
        <color indexed="64"/>
      </bottom>
      <diagonal/>
    </border>
    <border>
      <left style="thin">
        <color theme="1"/>
      </left>
      <right/>
      <top style="thin">
        <color theme="1"/>
      </top>
      <bottom style="thin">
        <color indexed="64"/>
      </bottom>
      <diagonal/>
    </border>
    <border>
      <left/>
      <right/>
      <top style="thin">
        <color theme="1"/>
      </top>
      <bottom style="thin">
        <color indexed="64"/>
      </bottom>
      <diagonal/>
    </border>
    <border>
      <left/>
      <right style="thin">
        <color theme="1"/>
      </right>
      <top style="thin">
        <color theme="1"/>
      </top>
      <bottom style="thin">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style="medium">
        <color indexed="64"/>
      </left>
      <right style="thin">
        <color indexed="9"/>
      </right>
      <top style="thin">
        <color theme="0"/>
      </top>
      <bottom style="thin">
        <color indexed="64"/>
      </bottom>
      <diagonal/>
    </border>
    <border>
      <left style="thin">
        <color indexed="9"/>
      </left>
      <right style="thin">
        <color indexed="9"/>
      </right>
      <top style="thin">
        <color theme="0"/>
      </top>
      <bottom style="thin">
        <color indexed="64"/>
      </bottom>
      <diagonal/>
    </border>
    <border>
      <left/>
      <right style="medium">
        <color indexed="64"/>
      </right>
      <top style="thin">
        <color theme="0"/>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1">
    <xf numFmtId="0" fontId="0" fillId="0" borderId="0"/>
    <xf numFmtId="0" fontId="3" fillId="0" borderId="0"/>
    <xf numFmtId="9" fontId="4" fillId="0" borderId="0" applyFont="0" applyFill="0" applyBorder="0" applyAlignment="0" applyProtection="0"/>
    <xf numFmtId="9" fontId="7" fillId="0" borderId="0" applyFont="0" applyFill="0" applyBorder="0" applyAlignment="0" applyProtection="0"/>
    <xf numFmtId="0" fontId="3" fillId="0" borderId="0"/>
    <xf numFmtId="0" fontId="7" fillId="0" borderId="0">
      <alignment vertical="center"/>
    </xf>
    <xf numFmtId="0" fontId="23" fillId="0" borderId="0" applyNumberFormat="0" applyFill="0" applyBorder="0" applyAlignment="0" applyProtection="0">
      <alignment vertical="center"/>
    </xf>
    <xf numFmtId="0" fontId="3" fillId="0" borderId="0"/>
    <xf numFmtId="0" fontId="3" fillId="0" borderId="0"/>
    <xf numFmtId="0" fontId="31" fillId="0" borderId="0">
      <alignment vertical="center"/>
    </xf>
    <xf numFmtId="0" fontId="32" fillId="0" borderId="0"/>
  </cellStyleXfs>
  <cellXfs count="246">
    <xf numFmtId="0" fontId="0" fillId="0" borderId="0" xfId="0"/>
    <xf numFmtId="0" fontId="0" fillId="0" borderId="0" xfId="0" applyAlignment="1">
      <alignment wrapText="1"/>
    </xf>
    <xf numFmtId="0" fontId="5" fillId="0" borderId="0" xfId="1" applyFont="1"/>
    <xf numFmtId="0" fontId="5" fillId="2" borderId="2" xfId="1" applyFont="1" applyFill="1" applyBorder="1" applyAlignment="1">
      <alignment vertical="center"/>
    </xf>
    <xf numFmtId="0" fontId="5" fillId="2" borderId="0" xfId="1" applyFont="1" applyFill="1"/>
    <xf numFmtId="0" fontId="5" fillId="2" borderId="1" xfId="1" applyFont="1" applyFill="1" applyBorder="1"/>
    <xf numFmtId="0" fontId="5" fillId="0" borderId="1" xfId="1" applyFont="1" applyBorder="1" applyAlignment="1">
      <alignment vertical="top"/>
    </xf>
    <xf numFmtId="15" fontId="5" fillId="0" borderId="0" xfId="1" applyNumberFormat="1" applyFont="1"/>
    <xf numFmtId="0" fontId="5" fillId="2" borderId="1" xfId="1" applyFont="1" applyFill="1" applyBorder="1" applyAlignment="1">
      <alignment vertical="center"/>
    </xf>
    <xf numFmtId="0" fontId="5" fillId="2" borderId="9" xfId="1" applyFont="1" applyFill="1" applyBorder="1" applyAlignment="1">
      <alignment vertical="center"/>
    </xf>
    <xf numFmtId="0" fontId="5" fillId="2" borderId="7" xfId="1" applyFont="1" applyFill="1" applyBorder="1" applyAlignment="1">
      <alignment vertical="center"/>
    </xf>
    <xf numFmtId="0" fontId="5" fillId="2" borderId="11" xfId="1" applyFont="1" applyFill="1" applyBorder="1"/>
    <xf numFmtId="164" fontId="5" fillId="0" borderId="0" xfId="3" applyNumberFormat="1" applyFont="1"/>
    <xf numFmtId="0" fontId="5" fillId="0" borderId="1" xfId="1" applyFont="1" applyBorder="1" applyAlignment="1">
      <alignment vertical="top" wrapText="1"/>
    </xf>
    <xf numFmtId="0" fontId="11" fillId="2" borderId="0" xfId="0" applyFont="1" applyFill="1" applyAlignment="1">
      <alignment wrapText="1"/>
    </xf>
    <xf numFmtId="0" fontId="12" fillId="2" borderId="0" xfId="0" applyFont="1" applyFill="1" applyAlignment="1">
      <alignment wrapText="1"/>
    </xf>
    <xf numFmtId="0" fontId="12" fillId="2" borderId="0" xfId="0" applyFont="1" applyFill="1"/>
    <xf numFmtId="0" fontId="11" fillId="2" borderId="0" xfId="0" applyFont="1" applyFill="1"/>
    <xf numFmtId="0" fontId="0" fillId="5" borderId="0" xfId="0" applyFill="1" applyAlignment="1">
      <alignment wrapText="1"/>
    </xf>
    <xf numFmtId="0" fontId="2" fillId="6" borderId="0" xfId="0" applyFont="1" applyFill="1" applyAlignment="1">
      <alignment horizontal="left" wrapText="1"/>
    </xf>
    <xf numFmtId="0" fontId="2" fillId="5" borderId="0" xfId="0" applyFont="1" applyFill="1" applyAlignment="1">
      <alignment wrapText="1"/>
    </xf>
    <xf numFmtId="0" fontId="2" fillId="6" borderId="0" xfId="0" applyFont="1" applyFill="1" applyAlignment="1">
      <alignment horizontal="center" vertical="center" wrapText="1"/>
    </xf>
    <xf numFmtId="0" fontId="2" fillId="6" borderId="0" xfId="0" applyFont="1" applyFill="1" applyAlignment="1">
      <alignment wrapText="1"/>
    </xf>
    <xf numFmtId="0" fontId="2" fillId="7" borderId="0" xfId="0" applyFont="1" applyFill="1" applyAlignment="1">
      <alignment wrapText="1"/>
    </xf>
    <xf numFmtId="0" fontId="1" fillId="8" borderId="0" xfId="0" applyFont="1" applyFill="1"/>
    <xf numFmtId="0" fontId="0" fillId="9" borderId="0" xfId="0" applyFill="1" applyAlignment="1">
      <alignment wrapText="1"/>
    </xf>
    <xf numFmtId="0" fontId="2" fillId="9" borderId="0" xfId="0" applyFont="1" applyFill="1" applyAlignment="1">
      <alignment wrapText="1"/>
    </xf>
    <xf numFmtId="0" fontId="2" fillId="10" borderId="0" xfId="0" applyFont="1" applyFill="1" applyAlignment="1">
      <alignment wrapText="1"/>
    </xf>
    <xf numFmtId="0" fontId="2" fillId="11" borderId="0" xfId="0" applyFont="1" applyFill="1" applyAlignment="1">
      <alignment wrapText="1"/>
    </xf>
    <xf numFmtId="0" fontId="2" fillId="12" borderId="0" xfId="0" applyFont="1" applyFill="1" applyAlignment="1">
      <alignment wrapText="1"/>
    </xf>
    <xf numFmtId="0" fontId="2" fillId="10" borderId="0" xfId="0" applyFont="1" applyFill="1"/>
    <xf numFmtId="0" fontId="2" fillId="11" borderId="0" xfId="0" applyFont="1" applyFill="1"/>
    <xf numFmtId="0" fontId="2" fillId="12" borderId="0" xfId="0" applyFont="1" applyFill="1"/>
    <xf numFmtId="0" fontId="2" fillId="7" borderId="0" xfId="0" applyFont="1" applyFill="1"/>
    <xf numFmtId="0" fontId="0" fillId="0" borderId="0" xfId="0" applyAlignment="1">
      <alignment horizontal="center"/>
    </xf>
    <xf numFmtId="0" fontId="8" fillId="4" borderId="0" xfId="0" applyFont="1" applyFill="1" applyAlignment="1">
      <alignment vertical="center"/>
    </xf>
    <xf numFmtId="0" fontId="13" fillId="4" borderId="0" xfId="0" applyFont="1" applyFill="1" applyAlignment="1">
      <alignment vertical="center"/>
    </xf>
    <xf numFmtId="0" fontId="14" fillId="2" borderId="0" xfId="0" applyFont="1" applyFill="1" applyAlignment="1">
      <alignment vertical="center"/>
    </xf>
    <xf numFmtId="0" fontId="0" fillId="5" borderId="0" xfId="0" applyFill="1" applyAlignment="1">
      <alignment horizontal="center" vertical="center" wrapText="1"/>
    </xf>
    <xf numFmtId="0" fontId="0" fillId="9" borderId="0" xfId="0" applyFill="1" applyAlignment="1">
      <alignment horizontal="center" vertical="center" wrapText="1"/>
    </xf>
    <xf numFmtId="0" fontId="0" fillId="2" borderId="0" xfId="0" applyFill="1" applyAlignment="1">
      <alignment horizontal="center" vertical="center" wrapText="1"/>
    </xf>
    <xf numFmtId="0" fontId="0" fillId="10" borderId="0" xfId="0" applyFill="1" applyAlignment="1">
      <alignment horizontal="left" vertical="center"/>
    </xf>
    <xf numFmtId="0" fontId="0" fillId="10" borderId="0" xfId="0" applyFill="1" applyAlignment="1">
      <alignment horizontal="center" vertical="center" wrapText="1"/>
    </xf>
    <xf numFmtId="0" fontId="2" fillId="11" borderId="0" xfId="0" applyFont="1" applyFill="1" applyAlignment="1">
      <alignment horizontal="center" vertical="center" wrapText="1"/>
    </xf>
    <xf numFmtId="0" fontId="0" fillId="12" borderId="0" xfId="0" applyFill="1" applyAlignment="1">
      <alignment horizontal="left" vertical="center" wrapText="1"/>
    </xf>
    <xf numFmtId="0" fontId="0" fillId="12" borderId="0" xfId="0" applyFill="1" applyAlignment="1">
      <alignment horizontal="center" vertical="center" wrapText="1"/>
    </xf>
    <xf numFmtId="0" fontId="0" fillId="7" borderId="0" xfId="0" applyFill="1" applyAlignment="1">
      <alignment horizontal="center" vertical="center" wrapText="1"/>
    </xf>
    <xf numFmtId="0" fontId="15" fillId="2" borderId="0" xfId="0" applyFont="1" applyFill="1" applyAlignment="1">
      <alignment horizontal="left" vertical="center"/>
    </xf>
    <xf numFmtId="0" fontId="0" fillId="0" borderId="1" xfId="0" applyBorder="1"/>
    <xf numFmtId="2" fontId="2" fillId="0" borderId="0" xfId="0" applyNumberFormat="1" applyFont="1" applyAlignment="1">
      <alignment horizontal="center" vertical="center" wrapText="1"/>
    </xf>
    <xf numFmtId="2" fontId="2" fillId="0" borderId="0" xfId="0" applyNumberFormat="1" applyFont="1" applyAlignment="1">
      <alignment horizontal="center" wrapText="1"/>
    </xf>
    <xf numFmtId="2" fontId="0" fillId="0" borderId="0" xfId="0" applyNumberFormat="1" applyAlignment="1">
      <alignment horizontal="center" wrapText="1"/>
    </xf>
    <xf numFmtId="2" fontId="2" fillId="0" borderId="0" xfId="0" applyNumberFormat="1" applyFont="1" applyAlignment="1">
      <alignment wrapText="1"/>
    </xf>
    <xf numFmtId="2" fontId="0" fillId="0" borderId="0" xfId="0" applyNumberFormat="1" applyAlignment="1">
      <alignment horizontal="center"/>
    </xf>
    <xf numFmtId="2" fontId="2" fillId="0" borderId="0" xfId="0" applyNumberFormat="1" applyFont="1" applyAlignment="1">
      <alignment horizontal="center"/>
    </xf>
    <xf numFmtId="2" fontId="2" fillId="0" borderId="0" xfId="0" applyNumberFormat="1" applyFont="1"/>
    <xf numFmtId="2" fontId="0" fillId="0" borderId="0" xfId="0" applyNumberFormat="1"/>
    <xf numFmtId="2" fontId="2" fillId="0" borderId="0" xfId="0" applyNumberFormat="1" applyFont="1" applyAlignment="1">
      <alignment horizontal="center" vertical="center"/>
    </xf>
    <xf numFmtId="2" fontId="0" fillId="0" borderId="0" xfId="0" applyNumberFormat="1" applyAlignment="1">
      <alignment horizontal="center" vertical="center"/>
    </xf>
    <xf numFmtId="0" fontId="0" fillId="0" borderId="4" xfId="0" applyBorder="1" applyAlignment="1">
      <alignment vertical="center" textRotation="90"/>
    </xf>
    <xf numFmtId="0" fontId="0" fillId="0" borderId="10" xfId="0" applyBorder="1" applyAlignment="1">
      <alignment vertical="center" textRotation="90"/>
    </xf>
    <xf numFmtId="0" fontId="0" fillId="0" borderId="1" xfId="0" applyBorder="1" applyAlignment="1">
      <alignment vertical="center" textRotation="90"/>
    </xf>
    <xf numFmtId="0" fontId="5" fillId="3" borderId="1" xfId="1" applyFont="1" applyFill="1" applyBorder="1" applyAlignment="1">
      <alignment vertical="top"/>
    </xf>
    <xf numFmtId="0" fontId="5" fillId="3" borderId="2" xfId="1" applyFont="1" applyFill="1" applyBorder="1" applyAlignment="1">
      <alignment vertical="top"/>
    </xf>
    <xf numFmtId="0" fontId="5" fillId="3" borderId="3" xfId="1" applyFont="1" applyFill="1" applyBorder="1" applyAlignment="1">
      <alignment vertical="top"/>
    </xf>
    <xf numFmtId="0" fontId="5" fillId="0" borderId="0" xfId="1" applyFont="1" applyAlignment="1">
      <alignment vertical="top"/>
    </xf>
    <xf numFmtId="0" fontId="5" fillId="0" borderId="7" xfId="1" applyFont="1" applyBorder="1" applyAlignment="1">
      <alignment vertical="top"/>
    </xf>
    <xf numFmtId="0" fontId="5" fillId="0" borderId="8" xfId="1" applyFont="1" applyBorder="1" applyAlignment="1">
      <alignment vertical="top"/>
    </xf>
    <xf numFmtId="0" fontId="5" fillId="0" borderId="8" xfId="1" applyFont="1" applyBorder="1" applyAlignment="1">
      <alignment vertical="top" wrapText="1"/>
    </xf>
    <xf numFmtId="0" fontId="5" fillId="0" borderId="3" xfId="1" applyFont="1" applyBorder="1" applyAlignment="1">
      <alignment vertical="top" wrapText="1"/>
    </xf>
    <xf numFmtId="0" fontId="5" fillId="0" borderId="3" xfId="1" applyFont="1" applyBorder="1" applyAlignment="1">
      <alignment vertical="top"/>
    </xf>
    <xf numFmtId="0" fontId="5" fillId="3" borderId="4" xfId="1" applyFont="1" applyFill="1" applyBorder="1" applyAlignment="1">
      <alignment vertical="top"/>
    </xf>
    <xf numFmtId="0" fontId="5" fillId="3" borderId="6" xfId="1" applyFont="1" applyFill="1" applyBorder="1" applyAlignment="1">
      <alignment vertical="top"/>
    </xf>
    <xf numFmtId="0" fontId="5" fillId="0" borderId="2" xfId="1" applyFont="1" applyBorder="1" applyAlignment="1">
      <alignment vertical="top"/>
    </xf>
    <xf numFmtId="9" fontId="6" fillId="0" borderId="0" xfId="2" applyFont="1" applyAlignment="1">
      <alignment vertical="top"/>
    </xf>
    <xf numFmtId="15" fontId="5" fillId="0" borderId="0" xfId="1" applyNumberFormat="1" applyFont="1" applyAlignment="1">
      <alignment vertical="top"/>
    </xf>
    <xf numFmtId="0" fontId="5" fillId="0" borderId="4" xfId="1" applyFont="1" applyBorder="1" applyAlignment="1">
      <alignment vertical="top"/>
    </xf>
    <xf numFmtId="0" fontId="5" fillId="0" borderId="5" xfId="1" applyFont="1" applyBorder="1" applyAlignment="1">
      <alignment vertical="top"/>
    </xf>
    <xf numFmtId="0" fontId="5" fillId="0" borderId="6" xfId="1" applyFont="1" applyBorder="1" applyAlignment="1">
      <alignment vertical="top"/>
    </xf>
    <xf numFmtId="0" fontId="5" fillId="5" borderId="2" xfId="1" applyFont="1" applyFill="1" applyBorder="1" applyAlignment="1">
      <alignment vertical="top"/>
    </xf>
    <xf numFmtId="0" fontId="5" fillId="5" borderId="4" xfId="1" applyFont="1" applyFill="1" applyBorder="1" applyAlignment="1">
      <alignment vertical="top"/>
    </xf>
    <xf numFmtId="0" fontId="16" fillId="0" borderId="1" xfId="1" applyFont="1" applyBorder="1" applyAlignment="1">
      <alignment vertical="top"/>
    </xf>
    <xf numFmtId="0" fontId="5" fillId="5" borderId="1" xfId="1" applyFont="1" applyFill="1" applyBorder="1" applyAlignment="1">
      <alignment vertical="top"/>
    </xf>
    <xf numFmtId="0" fontId="16" fillId="0" borderId="1" xfId="1" applyFont="1" applyBorder="1" applyAlignment="1">
      <alignment vertical="top" wrapText="1"/>
    </xf>
    <xf numFmtId="0" fontId="16" fillId="0" borderId="4" xfId="1" applyFont="1" applyBorder="1" applyAlignment="1">
      <alignment vertical="top"/>
    </xf>
    <xf numFmtId="0" fontId="16" fillId="0" borderId="5" xfId="1" applyFont="1" applyBorder="1" applyAlignment="1">
      <alignment vertical="top"/>
    </xf>
    <xf numFmtId="0" fontId="16" fillId="0" borderId="5" xfId="1" applyFont="1" applyBorder="1" applyAlignment="1">
      <alignment horizontal="left" vertical="top" wrapText="1"/>
    </xf>
    <xf numFmtId="0" fontId="16" fillId="5" borderId="1" xfId="1" applyFont="1" applyFill="1" applyBorder="1" applyAlignment="1">
      <alignment vertical="top"/>
    </xf>
    <xf numFmtId="0" fontId="16" fillId="0" borderId="5" xfId="1" applyFont="1" applyBorder="1" applyAlignment="1">
      <alignment vertical="top" wrapText="1"/>
    </xf>
    <xf numFmtId="0" fontId="5" fillId="3" borderId="0" xfId="1" applyFont="1" applyFill="1" applyAlignment="1">
      <alignment vertical="top"/>
    </xf>
    <xf numFmtId="0" fontId="16" fillId="5" borderId="5" xfId="1" applyFont="1" applyFill="1" applyBorder="1" applyAlignment="1">
      <alignment vertical="top"/>
    </xf>
    <xf numFmtId="0" fontId="5" fillId="0" borderId="5" xfId="1" applyFont="1" applyBorder="1" applyAlignment="1">
      <alignment vertical="top" wrapText="1"/>
    </xf>
    <xf numFmtId="0" fontId="18" fillId="14" borderId="0" xfId="1" applyFont="1" applyFill="1"/>
    <xf numFmtId="0" fontId="19" fillId="14" borderId="16" xfId="1" applyFont="1" applyFill="1" applyBorder="1" applyAlignment="1">
      <alignment horizontal="center"/>
    </xf>
    <xf numFmtId="0" fontId="19" fillId="14" borderId="0" xfId="1" applyFont="1" applyFill="1" applyAlignment="1">
      <alignment horizontal="center"/>
    </xf>
    <xf numFmtId="0" fontId="19" fillId="14" borderId="15" xfId="1" applyFont="1" applyFill="1" applyBorder="1" applyAlignment="1">
      <alignment horizontal="center"/>
    </xf>
    <xf numFmtId="0" fontId="19" fillId="14" borderId="23" xfId="1" applyFont="1" applyFill="1" applyBorder="1" applyAlignment="1">
      <alignment horizontal="center"/>
    </xf>
    <xf numFmtId="0" fontId="19" fillId="14" borderId="21" xfId="1" applyFont="1" applyFill="1" applyBorder="1" applyAlignment="1">
      <alignment horizontal="center"/>
    </xf>
    <xf numFmtId="0" fontId="18" fillId="0" borderId="20" xfId="1" applyFont="1" applyBorder="1" applyAlignment="1">
      <alignment horizontal="center"/>
    </xf>
    <xf numFmtId="0" fontId="19" fillId="14" borderId="19" xfId="1" applyFont="1" applyFill="1" applyBorder="1" applyAlignment="1">
      <alignment horizontal="center"/>
    </xf>
    <xf numFmtId="0" fontId="18" fillId="14" borderId="18" xfId="1" applyFont="1" applyFill="1" applyBorder="1" applyAlignment="1">
      <alignment horizontal="center" wrapText="1"/>
    </xf>
    <xf numFmtId="0" fontId="18" fillId="14" borderId="1" xfId="1" applyFont="1" applyFill="1" applyBorder="1"/>
    <xf numFmtId="0" fontId="19" fillId="14" borderId="25" xfId="1" applyFont="1" applyFill="1" applyBorder="1" applyAlignment="1">
      <alignment horizontal="center"/>
    </xf>
    <xf numFmtId="0" fontId="19" fillId="14" borderId="22" xfId="1" applyFont="1" applyFill="1" applyBorder="1" applyAlignment="1">
      <alignment horizontal="center"/>
    </xf>
    <xf numFmtId="0" fontId="21" fillId="3" borderId="0" xfId="0" applyFont="1" applyFill="1"/>
    <xf numFmtId="0" fontId="21" fillId="3" borderId="0" xfId="5" applyFont="1" applyFill="1" applyAlignment="1"/>
    <xf numFmtId="0" fontId="25" fillId="3" borderId="0" xfId="0" applyFont="1" applyFill="1" applyAlignment="1">
      <alignment horizontal="left"/>
    </xf>
    <xf numFmtId="0" fontId="28" fillId="3" borderId="1" xfId="0" applyFont="1" applyFill="1" applyBorder="1" applyAlignment="1">
      <alignment horizontal="center" vertical="center"/>
    </xf>
    <xf numFmtId="0" fontId="29" fillId="3" borderId="39" xfId="8" applyFont="1" applyFill="1" applyBorder="1" applyAlignment="1">
      <alignment horizontal="center" vertical="center" wrapText="1"/>
    </xf>
    <xf numFmtId="0" fontId="29" fillId="3" borderId="0" xfId="8" applyFont="1" applyFill="1" applyAlignment="1">
      <alignment horizontal="center" vertical="center" wrapText="1"/>
    </xf>
    <xf numFmtId="0" fontId="29" fillId="3" borderId="0" xfId="8" applyFont="1" applyFill="1" applyAlignment="1">
      <alignment horizontal="left" vertical="center" wrapText="1"/>
    </xf>
    <xf numFmtId="0" fontId="25" fillId="3" borderId="0" xfId="0" applyFont="1" applyFill="1" applyAlignment="1">
      <alignment horizontal="left" wrapText="1"/>
    </xf>
    <xf numFmtId="0" fontId="30" fillId="3" borderId="39" xfId="8" applyFont="1" applyFill="1" applyBorder="1" applyAlignment="1">
      <alignment horizontal="center" vertical="center" wrapText="1"/>
    </xf>
    <xf numFmtId="0" fontId="27" fillId="3" borderId="1" xfId="0" applyFont="1" applyFill="1" applyBorder="1" applyAlignment="1">
      <alignment horizontal="center" wrapText="1"/>
    </xf>
    <xf numFmtId="165" fontId="27" fillId="3" borderId="1" xfId="0" applyNumberFormat="1" applyFont="1" applyFill="1" applyBorder="1" applyAlignment="1">
      <alignment horizontal="center" wrapText="1"/>
    </xf>
    <xf numFmtId="0" fontId="29" fillId="3" borderId="39" xfId="8" applyFont="1" applyFill="1" applyBorder="1" applyAlignment="1">
      <alignment vertical="center" wrapText="1"/>
    </xf>
    <xf numFmtId="0" fontId="21" fillId="0" borderId="0" xfId="5" applyFont="1" applyAlignment="1"/>
    <xf numFmtId="0" fontId="33" fillId="3" borderId="1" xfId="9" applyFont="1" applyFill="1" applyBorder="1" applyAlignment="1">
      <alignment horizontal="center" vertical="center"/>
    </xf>
    <xf numFmtId="14" fontId="33" fillId="3" borderId="1" xfId="9" applyNumberFormat="1" applyFont="1" applyFill="1" applyBorder="1">
      <alignment vertical="center"/>
    </xf>
    <xf numFmtId="0" fontId="33" fillId="3" borderId="20" xfId="9" applyFont="1" applyFill="1" applyBorder="1" applyAlignment="1">
      <alignment vertical="center" wrapText="1"/>
    </xf>
    <xf numFmtId="0" fontId="33" fillId="3" borderId="20" xfId="9" applyFont="1" applyFill="1" applyBorder="1" applyAlignment="1">
      <alignment horizontal="center" vertical="center"/>
    </xf>
    <xf numFmtId="0" fontId="33" fillId="3" borderId="1" xfId="10" applyFont="1" applyFill="1" applyBorder="1" applyAlignment="1" applyProtection="1">
      <alignment horizontal="center" vertical="center"/>
      <protection hidden="1"/>
    </xf>
    <xf numFmtId="14" fontId="33" fillId="3" borderId="1" xfId="10" applyNumberFormat="1" applyFont="1" applyFill="1" applyBorder="1" applyAlignment="1" applyProtection="1">
      <alignment vertical="center"/>
      <protection hidden="1"/>
    </xf>
    <xf numFmtId="0" fontId="33" fillId="3" borderId="51" xfId="10" applyFont="1" applyFill="1" applyBorder="1" applyAlignment="1" applyProtection="1">
      <alignment horizontal="center" vertical="center"/>
      <protection hidden="1"/>
    </xf>
    <xf numFmtId="14" fontId="33" fillId="3" borderId="51" xfId="10" applyNumberFormat="1" applyFont="1" applyFill="1" applyBorder="1" applyAlignment="1" applyProtection="1">
      <alignment vertical="center"/>
      <protection hidden="1"/>
    </xf>
    <xf numFmtId="0" fontId="33" fillId="3" borderId="18" xfId="9" applyFont="1" applyFill="1" applyBorder="1" applyAlignment="1">
      <alignment horizontal="center" vertical="center"/>
    </xf>
    <xf numFmtId="0" fontId="22" fillId="3" borderId="0" xfId="0" applyFont="1" applyFill="1"/>
    <xf numFmtId="0" fontId="35" fillId="15" borderId="48" xfId="9" applyFont="1" applyFill="1" applyBorder="1" applyAlignment="1">
      <alignment horizontal="center" vertical="center" wrapText="1"/>
    </xf>
    <xf numFmtId="0" fontId="35" fillId="15" borderId="49" xfId="9" applyFont="1" applyFill="1" applyBorder="1" applyAlignment="1">
      <alignment horizontal="center" vertical="center"/>
    </xf>
    <xf numFmtId="0" fontId="35" fillId="15" borderId="50" xfId="9" applyFont="1" applyFill="1" applyBorder="1" applyAlignment="1">
      <alignment horizontal="center" vertical="center"/>
    </xf>
    <xf numFmtId="0" fontId="36" fillId="3" borderId="0" xfId="0" applyFont="1" applyFill="1"/>
    <xf numFmtId="0" fontId="36" fillId="3" borderId="0" xfId="5" applyFont="1" applyFill="1" applyAlignment="1"/>
    <xf numFmtId="14" fontId="33" fillId="3" borderId="21" xfId="9" applyNumberFormat="1" applyFont="1" applyFill="1" applyBorder="1" applyAlignment="1">
      <alignment horizontal="center" vertical="center"/>
    </xf>
    <xf numFmtId="0" fontId="39" fillId="15" borderId="52" xfId="0" applyFont="1" applyFill="1" applyBorder="1" applyAlignment="1">
      <alignment horizontal="center" vertical="center" wrapText="1"/>
    </xf>
    <xf numFmtId="0" fontId="39" fillId="15" borderId="28" xfId="0" applyFont="1" applyFill="1" applyBorder="1" applyAlignment="1">
      <alignment horizontal="center" vertical="center" wrapText="1"/>
    </xf>
    <xf numFmtId="0" fontId="21" fillId="3" borderId="0" xfId="0" applyFont="1" applyFill="1" applyAlignment="1">
      <alignment wrapText="1"/>
    </xf>
    <xf numFmtId="0" fontId="22" fillId="3" borderId="0" xfId="0" applyFont="1" applyFill="1" applyAlignment="1">
      <alignment vertical="top" wrapText="1"/>
    </xf>
    <xf numFmtId="0" fontId="22" fillId="3" borderId="0" xfId="0" applyFont="1" applyFill="1" applyAlignment="1">
      <alignment horizontal="center" vertical="top" wrapText="1"/>
    </xf>
    <xf numFmtId="0" fontId="22" fillId="3" borderId="0" xfId="0" applyFont="1" applyFill="1" applyAlignment="1">
      <alignment vertical="top"/>
    </xf>
    <xf numFmtId="0" fontId="37" fillId="0" borderId="39" xfId="8" applyFont="1" applyBorder="1" applyAlignment="1">
      <alignment horizontal="left" vertical="center" wrapText="1"/>
    </xf>
    <xf numFmtId="0" fontId="37" fillId="0" borderId="39" xfId="8" applyFont="1" applyBorder="1" applyAlignment="1">
      <alignment horizontal="center" vertical="center" wrapText="1"/>
    </xf>
    <xf numFmtId="0" fontId="18" fillId="14" borderId="29" xfId="1" applyFont="1" applyFill="1" applyBorder="1" applyAlignment="1">
      <alignment horizontal="center"/>
    </xf>
    <xf numFmtId="0" fontId="18" fillId="14" borderId="13" xfId="1" applyFont="1" applyFill="1" applyBorder="1" applyAlignment="1">
      <alignment horizontal="center"/>
    </xf>
    <xf numFmtId="0" fontId="42" fillId="14" borderId="25" xfId="1" applyFont="1" applyFill="1" applyBorder="1" applyAlignment="1">
      <alignment horizontal="center"/>
    </xf>
    <xf numFmtId="0" fontId="42" fillId="14" borderId="22" xfId="1" applyFont="1" applyFill="1" applyBorder="1" applyAlignment="1">
      <alignment horizontal="center"/>
    </xf>
    <xf numFmtId="0" fontId="43" fillId="0" borderId="18" xfId="9" applyFont="1" applyBorder="1" applyAlignment="1">
      <alignment horizontal="center" vertical="center"/>
    </xf>
    <xf numFmtId="14" fontId="43" fillId="16" borderId="51" xfId="10" applyNumberFormat="1" applyFont="1" applyFill="1" applyBorder="1" applyAlignment="1" applyProtection="1">
      <alignment vertical="center"/>
      <protection hidden="1"/>
    </xf>
    <xf numFmtId="0" fontId="43" fillId="16" borderId="51" xfId="10" applyFont="1" applyFill="1" applyBorder="1" applyAlignment="1" applyProtection="1">
      <alignment horizontal="center" vertical="center"/>
      <protection hidden="1"/>
    </xf>
    <xf numFmtId="166" fontId="43" fillId="16" borderId="19" xfId="10" applyNumberFormat="1" applyFont="1" applyFill="1" applyBorder="1" applyAlignment="1" applyProtection="1">
      <alignment horizontal="center" vertical="center"/>
      <protection hidden="1"/>
    </xf>
    <xf numFmtId="0" fontId="43" fillId="0" borderId="20" xfId="9" applyFont="1" applyBorder="1" applyAlignment="1">
      <alignment horizontal="center" vertical="center"/>
    </xf>
    <xf numFmtId="14" fontId="43" fillId="16" borderId="1" xfId="10" applyNumberFormat="1" applyFont="1" applyFill="1" applyBorder="1" applyAlignment="1" applyProtection="1">
      <alignment vertical="center"/>
      <protection hidden="1"/>
    </xf>
    <xf numFmtId="0" fontId="43" fillId="16" borderId="1" xfId="10" applyFont="1" applyFill="1" applyBorder="1" applyAlignment="1" applyProtection="1">
      <alignment horizontal="center" vertical="center"/>
      <protection hidden="1"/>
    </xf>
    <xf numFmtId="166" fontId="43" fillId="16" borderId="21" xfId="10" applyNumberFormat="1" applyFont="1" applyFill="1" applyBorder="1" applyAlignment="1" applyProtection="1">
      <alignment horizontal="center" vertical="center"/>
      <protection hidden="1"/>
    </xf>
    <xf numFmtId="14" fontId="43" fillId="0" borderId="1" xfId="9" applyNumberFormat="1" applyFont="1" applyBorder="1">
      <alignment vertical="center"/>
    </xf>
    <xf numFmtId="0" fontId="43" fillId="0" borderId="1" xfId="9" applyFont="1" applyBorder="1" applyAlignment="1">
      <alignment horizontal="center" vertical="center"/>
    </xf>
    <xf numFmtId="166" fontId="43" fillId="0" borderId="21" xfId="9" applyNumberFormat="1" applyFont="1" applyBorder="1" applyAlignment="1">
      <alignment horizontal="center" vertical="center"/>
    </xf>
    <xf numFmtId="0" fontId="43" fillId="0" borderId="20" xfId="9" applyFont="1" applyBorder="1" applyAlignment="1">
      <alignment vertical="center" wrapText="1"/>
    </xf>
    <xf numFmtId="0" fontId="43" fillId="0" borderId="20" xfId="9" applyFont="1" applyBorder="1" applyAlignment="1">
      <alignment horizontal="center" vertical="center" wrapText="1"/>
    </xf>
    <xf numFmtId="14" fontId="43" fillId="0" borderId="1" xfId="9" applyNumberFormat="1" applyFont="1" applyBorder="1" applyAlignment="1">
      <alignment horizontal="center" vertical="center"/>
    </xf>
    <xf numFmtId="165" fontId="43" fillId="0" borderId="1" xfId="9" applyNumberFormat="1" applyFont="1" applyBorder="1" applyAlignment="1">
      <alignment horizontal="center" vertical="center"/>
    </xf>
    <xf numFmtId="0" fontId="26" fillId="3" borderId="1" xfId="0" applyFont="1" applyFill="1" applyBorder="1" applyAlignment="1">
      <alignment horizontal="center"/>
    </xf>
    <xf numFmtId="0" fontId="26" fillId="3" borderId="1" xfId="0" applyFont="1" applyFill="1" applyBorder="1"/>
    <xf numFmtId="0" fontId="40" fillId="15" borderId="1" xfId="0" applyFont="1" applyFill="1" applyBorder="1" applyAlignment="1">
      <alignment horizontal="left" vertical="center" wrapText="1"/>
    </xf>
    <xf numFmtId="0" fontId="40" fillId="15" borderId="1" xfId="0" applyFont="1" applyFill="1" applyBorder="1" applyAlignment="1">
      <alignment vertical="center" wrapText="1"/>
    </xf>
    <xf numFmtId="0" fontId="40" fillId="15" borderId="1" xfId="0" applyFont="1" applyFill="1" applyBorder="1" applyAlignment="1">
      <alignment horizontal="left" vertical="center"/>
    </xf>
    <xf numFmtId="0" fontId="37" fillId="0" borderId="39" xfId="8" applyFont="1" applyBorder="1" applyAlignment="1">
      <alignment vertical="center" wrapText="1"/>
    </xf>
    <xf numFmtId="0" fontId="19" fillId="14" borderId="17" xfId="1" applyFont="1" applyFill="1" applyBorder="1" applyAlignment="1">
      <alignment horizontal="center"/>
    </xf>
    <xf numFmtId="0" fontId="20" fillId="14" borderId="17" xfId="1" applyFont="1" applyFill="1" applyBorder="1" applyAlignment="1">
      <alignment horizontal="center"/>
    </xf>
    <xf numFmtId="0" fontId="18" fillId="0" borderId="30" xfId="1" applyFont="1" applyBorder="1" applyAlignment="1">
      <alignment horizontal="center" vertical="top" wrapText="1"/>
    </xf>
    <xf numFmtId="0" fontId="18" fillId="0" borderId="25" xfId="1" applyFont="1" applyBorder="1" applyAlignment="1">
      <alignment horizontal="center" vertical="top" wrapText="1"/>
    </xf>
    <xf numFmtId="0" fontId="18" fillId="0" borderId="24" xfId="1" applyFont="1" applyBorder="1" applyAlignment="1">
      <alignment horizontal="center" vertical="top" wrapText="1"/>
    </xf>
    <xf numFmtId="0" fontId="19" fillId="14" borderId="16" xfId="1" applyFont="1" applyFill="1" applyBorder="1" applyAlignment="1">
      <alignment horizontal="center"/>
    </xf>
    <xf numFmtId="0" fontId="19" fillId="14" borderId="0" xfId="1" applyFont="1" applyFill="1" applyAlignment="1">
      <alignment horizontal="center"/>
    </xf>
    <xf numFmtId="0" fontId="19" fillId="14" borderId="15" xfId="1" applyFont="1" applyFill="1" applyBorder="1" applyAlignment="1">
      <alignment horizontal="center"/>
    </xf>
    <xf numFmtId="0" fontId="18" fillId="15" borderId="14" xfId="4" applyFont="1" applyFill="1" applyBorder="1" applyAlignment="1">
      <alignment horizontal="center" vertical="top" wrapText="1"/>
    </xf>
    <xf numFmtId="0" fontId="18" fillId="15" borderId="13" xfId="4" applyFont="1" applyFill="1" applyBorder="1" applyAlignment="1">
      <alignment horizontal="center" vertical="top" wrapText="1"/>
    </xf>
    <xf numFmtId="0" fontId="18" fillId="15" borderId="12" xfId="4" applyFont="1" applyFill="1" applyBorder="1" applyAlignment="1">
      <alignment horizontal="center" vertical="top" wrapText="1"/>
    </xf>
    <xf numFmtId="0" fontId="40" fillId="15" borderId="1" xfId="0" applyFont="1" applyFill="1" applyBorder="1" applyAlignment="1">
      <alignment horizontal="center"/>
    </xf>
    <xf numFmtId="0" fontId="36" fillId="3" borderId="1" xfId="0" applyFont="1" applyFill="1" applyBorder="1" applyAlignment="1">
      <alignment horizontal="left"/>
    </xf>
    <xf numFmtId="0" fontId="28" fillId="3" borderId="3" xfId="0" applyFont="1" applyFill="1" applyBorder="1" applyAlignment="1">
      <alignment horizontal="left" vertical="center"/>
    </xf>
    <xf numFmtId="0" fontId="28" fillId="3" borderId="29" xfId="0" applyFont="1" applyFill="1" applyBorder="1" applyAlignment="1">
      <alignment horizontal="left" vertical="center"/>
    </xf>
    <xf numFmtId="0" fontId="28" fillId="3" borderId="2" xfId="0" applyFont="1" applyFill="1" applyBorder="1" applyAlignment="1">
      <alignment horizontal="left" vertical="center"/>
    </xf>
    <xf numFmtId="0" fontId="37" fillId="3" borderId="6" xfId="0" applyFont="1" applyFill="1" applyBorder="1" applyAlignment="1">
      <alignment horizontal="left" wrapText="1"/>
    </xf>
    <xf numFmtId="0" fontId="27" fillId="3" borderId="34" xfId="0" applyFont="1" applyFill="1" applyBorder="1" applyAlignment="1">
      <alignment horizontal="left" wrapText="1"/>
    </xf>
    <xf numFmtId="0" fontId="27" fillId="3" borderId="4" xfId="0" applyFont="1" applyFill="1" applyBorder="1" applyAlignment="1">
      <alignment horizontal="left" wrapText="1"/>
    </xf>
    <xf numFmtId="0" fontId="27" fillId="3" borderId="7" xfId="0" applyFont="1" applyFill="1" applyBorder="1" applyAlignment="1">
      <alignment horizontal="left" wrapText="1"/>
    </xf>
    <xf numFmtId="0" fontId="27" fillId="3" borderId="35" xfId="0" applyFont="1" applyFill="1" applyBorder="1" applyAlignment="1">
      <alignment horizontal="left" wrapText="1"/>
    </xf>
    <xf numFmtId="0" fontId="27" fillId="3" borderId="9" xfId="0" applyFont="1" applyFill="1" applyBorder="1" applyAlignment="1">
      <alignment horizontal="left" wrapText="1"/>
    </xf>
    <xf numFmtId="165" fontId="24" fillId="15" borderId="31" xfId="7" applyNumberFormat="1" applyFont="1" applyFill="1" applyBorder="1" applyAlignment="1">
      <alignment horizontal="left" vertical="center"/>
    </xf>
    <xf numFmtId="165" fontId="24" fillId="15" borderId="32" xfId="7" applyNumberFormat="1" applyFont="1" applyFill="1" applyBorder="1" applyAlignment="1">
      <alignment horizontal="left" vertical="center"/>
    </xf>
    <xf numFmtId="165" fontId="24" fillId="15" borderId="33" xfId="7" applyNumberFormat="1" applyFont="1" applyFill="1" applyBorder="1" applyAlignment="1">
      <alignment horizontal="left" vertical="center"/>
    </xf>
    <xf numFmtId="0" fontId="27" fillId="3" borderId="6" xfId="0" applyFont="1" applyFill="1" applyBorder="1" applyAlignment="1">
      <alignment horizontal="left" vertical="top" wrapText="1"/>
    </xf>
    <xf numFmtId="0" fontId="27" fillId="3" borderId="34" xfId="0" applyFont="1" applyFill="1" applyBorder="1" applyAlignment="1">
      <alignment horizontal="left" vertical="top" wrapText="1"/>
    </xf>
    <xf numFmtId="0" fontId="27" fillId="3" borderId="4" xfId="0" applyFont="1" applyFill="1" applyBorder="1" applyAlignment="1">
      <alignment horizontal="left" vertical="top" wrapText="1"/>
    </xf>
    <xf numFmtId="0" fontId="27" fillId="3" borderId="7" xfId="0" applyFont="1" applyFill="1" applyBorder="1" applyAlignment="1">
      <alignment horizontal="left" vertical="top" wrapText="1"/>
    </xf>
    <xf numFmtId="0" fontId="27" fillId="3" borderId="35" xfId="0" applyFont="1" applyFill="1" applyBorder="1" applyAlignment="1">
      <alignment horizontal="left" vertical="top" wrapText="1"/>
    </xf>
    <xf numFmtId="0" fontId="27" fillId="3" borderId="9" xfId="0" applyFont="1" applyFill="1" applyBorder="1" applyAlignment="1">
      <alignment horizontal="left" vertical="top" wrapText="1"/>
    </xf>
    <xf numFmtId="0" fontId="21" fillId="3" borderId="6" xfId="0" applyFont="1" applyFill="1" applyBorder="1" applyAlignment="1">
      <alignment horizontal="left" vertical="top" wrapText="1"/>
    </xf>
    <xf numFmtId="0" fontId="26" fillId="3" borderId="34" xfId="0" applyFont="1" applyFill="1" applyBorder="1" applyAlignment="1">
      <alignment horizontal="left" vertical="top" wrapText="1"/>
    </xf>
    <xf numFmtId="0" fontId="26" fillId="3" borderId="4" xfId="0" applyFont="1" applyFill="1" applyBorder="1" applyAlignment="1">
      <alignment horizontal="left" vertical="top" wrapText="1"/>
    </xf>
    <xf numFmtId="0" fontId="26" fillId="3" borderId="7" xfId="0" applyFont="1" applyFill="1" applyBorder="1" applyAlignment="1">
      <alignment horizontal="left" vertical="top" wrapText="1"/>
    </xf>
    <xf numFmtId="0" fontId="26" fillId="3" borderId="35" xfId="0" applyFont="1" applyFill="1" applyBorder="1" applyAlignment="1">
      <alignment horizontal="left" vertical="top" wrapText="1"/>
    </xf>
    <xf numFmtId="0" fontId="26" fillId="3" borderId="9" xfId="0" applyFont="1" applyFill="1" applyBorder="1" applyAlignment="1">
      <alignment horizontal="left" vertical="top" wrapText="1"/>
    </xf>
    <xf numFmtId="0" fontId="37" fillId="0" borderId="36" xfId="8" applyFont="1" applyBorder="1" applyAlignment="1">
      <alignment horizontal="left" vertical="center" wrapText="1"/>
    </xf>
    <xf numFmtId="0" fontId="37" fillId="0" borderId="37" xfId="8" applyFont="1" applyBorder="1" applyAlignment="1">
      <alignment horizontal="left" vertical="center" wrapText="1"/>
    </xf>
    <xf numFmtId="0" fontId="37" fillId="0" borderId="38" xfId="8" applyFont="1" applyBorder="1" applyAlignment="1">
      <alignment horizontal="left" vertical="center" wrapText="1"/>
    </xf>
    <xf numFmtId="0" fontId="29" fillId="3" borderId="36" xfId="8" applyFont="1" applyFill="1" applyBorder="1" applyAlignment="1">
      <alignment horizontal="left" vertical="center" wrapText="1"/>
    </xf>
    <xf numFmtId="0" fontId="29" fillId="3" borderId="37" xfId="8" applyFont="1" applyFill="1" applyBorder="1" applyAlignment="1">
      <alignment horizontal="left" vertical="center" wrapText="1"/>
    </xf>
    <xf numFmtId="0" fontId="29" fillId="3" borderId="38" xfId="8" applyFont="1" applyFill="1" applyBorder="1" applyAlignment="1">
      <alignment horizontal="left" vertical="center" wrapText="1"/>
    </xf>
    <xf numFmtId="165" fontId="24" fillId="15" borderId="42" xfId="7" applyNumberFormat="1" applyFont="1" applyFill="1" applyBorder="1" applyAlignment="1">
      <alignment horizontal="left" vertical="center"/>
    </xf>
    <xf numFmtId="165" fontId="24" fillId="15" borderId="43" xfId="7" applyNumberFormat="1" applyFont="1" applyFill="1" applyBorder="1" applyAlignment="1">
      <alignment horizontal="left" vertical="center"/>
    </xf>
    <xf numFmtId="165" fontId="24" fillId="15" borderId="44" xfId="7" applyNumberFormat="1" applyFont="1" applyFill="1" applyBorder="1" applyAlignment="1">
      <alignment horizontal="left" vertical="center"/>
    </xf>
    <xf numFmtId="0" fontId="36" fillId="3" borderId="1" xfId="0" applyFont="1" applyFill="1" applyBorder="1" applyAlignment="1">
      <alignment horizontal="left" wrapText="1"/>
    </xf>
    <xf numFmtId="0" fontId="30" fillId="3" borderId="36" xfId="8" applyFont="1" applyFill="1" applyBorder="1" applyAlignment="1">
      <alignment horizontal="center" vertical="center" wrapText="1"/>
    </xf>
    <xf numFmtId="0" fontId="30" fillId="3" borderId="38" xfId="8" applyFont="1" applyFill="1" applyBorder="1" applyAlignment="1">
      <alignment horizontal="center" vertical="center" wrapText="1"/>
    </xf>
    <xf numFmtId="0" fontId="27" fillId="3" borderId="40" xfId="0" applyFont="1" applyFill="1" applyBorder="1" applyAlignment="1">
      <alignment horizontal="center" wrapText="1"/>
    </xf>
    <xf numFmtId="0" fontId="27" fillId="3" borderId="41" xfId="0" applyFont="1" applyFill="1" applyBorder="1" applyAlignment="1">
      <alignment horizontal="center" wrapText="1"/>
    </xf>
    <xf numFmtId="0" fontId="37" fillId="0" borderId="36" xfId="8" applyFont="1" applyBorder="1" applyAlignment="1">
      <alignment horizontal="center" vertical="center" wrapText="1"/>
    </xf>
    <xf numFmtId="0" fontId="37" fillId="0" borderId="38" xfId="8" applyFont="1" applyBorder="1" applyAlignment="1">
      <alignment horizontal="center" vertical="center" wrapText="1"/>
    </xf>
    <xf numFmtId="0" fontId="40" fillId="15" borderId="26" xfId="0" applyFont="1" applyFill="1" applyBorder="1" applyAlignment="1">
      <alignment horizontal="center" wrapText="1"/>
    </xf>
    <xf numFmtId="0" fontId="40" fillId="15" borderId="27" xfId="0" applyFont="1" applyFill="1" applyBorder="1" applyAlignment="1">
      <alignment horizontal="center" wrapText="1"/>
    </xf>
    <xf numFmtId="0" fontId="40" fillId="15" borderId="28" xfId="0" applyFont="1" applyFill="1" applyBorder="1" applyAlignment="1">
      <alignment horizontal="center" wrapText="1"/>
    </xf>
    <xf numFmtId="0" fontId="26" fillId="0" borderId="54" xfId="0" applyFont="1" applyBorder="1" applyAlignment="1">
      <alignment horizontal="center" vertical="center" wrapText="1"/>
    </xf>
    <xf numFmtId="0" fontId="26" fillId="0" borderId="53" xfId="0" applyFont="1" applyBorder="1" applyAlignment="1">
      <alignment horizontal="center" vertical="center" wrapText="1"/>
    </xf>
    <xf numFmtId="0" fontId="39" fillId="15" borderId="54" xfId="0" applyFont="1" applyFill="1" applyBorder="1" applyAlignment="1">
      <alignment horizontal="center" vertical="center" wrapText="1"/>
    </xf>
    <xf numFmtId="0" fontId="39" fillId="15" borderId="53" xfId="0" applyFont="1" applyFill="1" applyBorder="1" applyAlignment="1">
      <alignment horizontal="center" vertical="center" wrapText="1"/>
    </xf>
    <xf numFmtId="0" fontId="40" fillId="15" borderId="55" xfId="0" applyFont="1" applyFill="1" applyBorder="1" applyAlignment="1">
      <alignment horizontal="center" wrapText="1"/>
    </xf>
    <xf numFmtId="0" fontId="41" fillId="15" borderId="55" xfId="0" applyFont="1" applyFill="1" applyBorder="1" applyAlignment="1">
      <alignment horizontal="center" wrapText="1"/>
    </xf>
    <xf numFmtId="0" fontId="17" fillId="15" borderId="56" xfId="0" applyFont="1" applyFill="1" applyBorder="1" applyAlignment="1">
      <alignment horizontal="center" vertical="center" wrapText="1"/>
    </xf>
    <xf numFmtId="0" fontId="17" fillId="15" borderId="57" xfId="0" applyFont="1" applyFill="1" applyBorder="1" applyAlignment="1">
      <alignment horizontal="center" vertical="center" wrapText="1"/>
    </xf>
    <xf numFmtId="0" fontId="17" fillId="15" borderId="58" xfId="0" applyFont="1" applyFill="1" applyBorder="1" applyAlignment="1">
      <alignment horizontal="center" vertical="center" wrapText="1"/>
    </xf>
    <xf numFmtId="0" fontId="17" fillId="15" borderId="59" xfId="0" applyFont="1" applyFill="1" applyBorder="1" applyAlignment="1">
      <alignment horizontal="center" vertical="center" wrapText="1"/>
    </xf>
    <xf numFmtId="0" fontId="17" fillId="15" borderId="55" xfId="0" applyFont="1" applyFill="1" applyBorder="1" applyAlignment="1">
      <alignment horizontal="center" vertical="center" wrapText="1"/>
    </xf>
    <xf numFmtId="0" fontId="17" fillId="15" borderId="60" xfId="0" applyFont="1" applyFill="1" applyBorder="1" applyAlignment="1">
      <alignment horizontal="center" vertical="center" wrapText="1"/>
    </xf>
    <xf numFmtId="0" fontId="34" fillId="15" borderId="45" xfId="7" applyFont="1" applyFill="1" applyBorder="1" applyAlignment="1">
      <alignment horizontal="center" vertical="center"/>
    </xf>
    <xf numFmtId="0" fontId="34" fillId="15" borderId="46" xfId="7" applyFont="1" applyFill="1" applyBorder="1" applyAlignment="1">
      <alignment horizontal="center" vertical="center"/>
    </xf>
    <xf numFmtId="0" fontId="34" fillId="15" borderId="47" xfId="7" applyFont="1" applyFill="1" applyBorder="1" applyAlignment="1">
      <alignment horizontal="center" vertical="center"/>
    </xf>
    <xf numFmtId="0" fontId="0" fillId="13" borderId="0" xfId="0" applyFill="1" applyAlignment="1">
      <alignment horizontal="center"/>
    </xf>
    <xf numFmtId="0" fontId="8" fillId="4" borderId="0" xfId="0" applyFont="1" applyFill="1" applyAlignment="1">
      <alignment horizontal="left" vertical="center"/>
    </xf>
    <xf numFmtId="0" fontId="2" fillId="5" borderId="0" xfId="0" applyFont="1" applyFill="1" applyAlignment="1">
      <alignment horizontal="left" wrapText="1"/>
    </xf>
    <xf numFmtId="0" fontId="2" fillId="6" borderId="0" xfId="0" applyFont="1" applyFill="1" applyAlignment="1">
      <alignment horizontal="left" wrapText="1"/>
    </xf>
    <xf numFmtId="0" fontId="2" fillId="7" borderId="0" xfId="0" applyFont="1" applyFill="1" applyAlignment="1">
      <alignment horizontal="left" wrapText="1"/>
    </xf>
    <xf numFmtId="0" fontId="1" fillId="8" borderId="0" xfId="0" applyFont="1" applyFill="1" applyAlignment="1">
      <alignment horizontal="left"/>
    </xf>
    <xf numFmtId="14" fontId="33" fillId="17" borderId="21" xfId="0" applyNumberFormat="1" applyFont="1" applyFill="1" applyBorder="1" applyAlignment="1"/>
    <xf numFmtId="0" fontId="33" fillId="17" borderId="1" xfId="0" applyFont="1" applyFill="1" applyBorder="1" applyAlignment="1"/>
    <xf numFmtId="0" fontId="33" fillId="17" borderId="20" xfId="0" applyFont="1" applyFill="1" applyBorder="1" applyAlignment="1">
      <alignment wrapText="1"/>
    </xf>
  </cellXfs>
  <cellStyles count="11">
    <cellStyle name="Hyperlink 2" xfId="6" xr:uid="{952B1C8C-916B-49DE-9A31-15EBB2810696}"/>
    <cellStyle name="Normal" xfId="0" builtinId="0"/>
    <cellStyle name="Normal 2" xfId="1" xr:uid="{00000000-0005-0000-0000-000002000000}"/>
    <cellStyle name="Normal 3" xfId="5" xr:uid="{73C1A6A8-7C65-4D0F-8B19-D1F7340C0AC8}"/>
    <cellStyle name="Normal 3 2" xfId="4" xr:uid="{1815150D-F7AD-4E38-B52B-27BAA4BEF77B}"/>
    <cellStyle name="Normal_20090108_Engineering_Process_Description_E" xfId="7" xr:uid="{B4E5A9F7-6C2A-43E3-9BD1-77B27F1B128E}"/>
    <cellStyle name="Normal_Configuration_Management_Plan_Template" xfId="9" xr:uid="{EF1AC8E9-9DEE-4CCF-B700-827A5B2658ED}"/>
    <cellStyle name="Normal_Soft development plan_IssB (Y20 Subwoofer) V2.0" xfId="10" xr:uid="{271B1824-BC9C-404F-BD1F-E0607360B6BB}"/>
    <cellStyle name="Percent" xfId="3" builtinId="5"/>
    <cellStyle name="Percent 2" xfId="2" xr:uid="{00000000-0005-0000-0000-000004000000}"/>
    <cellStyle name="標準_20081118_Support_Process_Description_E" xfId="8" xr:uid="{E99F9F1E-0102-44F3-A0A9-597ADC57AAE8}"/>
  </cellStyles>
  <dxfs count="23">
    <dxf>
      <font>
        <b val="0"/>
        <i val="0"/>
        <strike val="0"/>
        <condense val="0"/>
        <extend val="0"/>
        <outline val="0"/>
        <shadow val="0"/>
        <u val="none"/>
        <vertAlign val="baseline"/>
        <sz val="10"/>
        <color auto="1"/>
        <name val="Work Sans"/>
        <scheme val="major"/>
      </font>
      <fill>
        <patternFill patternType="solid">
          <fgColor indexed="64"/>
          <bgColor theme="0"/>
        </patternFill>
      </fil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Work Sans"/>
        <scheme val="major"/>
      </font>
      <fill>
        <patternFill patternType="solid">
          <fgColor indexed="64"/>
          <bgColor theme="0"/>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general" vertical="top" textRotation="0" indent="0" justifyLastLine="0" shrinkToFit="0" readingOrder="0"/>
    </dxf>
    <dxf>
      <font>
        <b val="0"/>
        <i val="0"/>
        <strike val="0"/>
        <condense val="0"/>
        <extend val="0"/>
        <outline val="0"/>
        <shadow val="0"/>
        <u val="none"/>
        <vertAlign val="baseline"/>
        <sz val="10"/>
        <color auto="1"/>
        <name val="Work Sans"/>
        <scheme val="major"/>
      </font>
      <fill>
        <patternFill patternType="solid">
          <fgColor indexed="64"/>
          <bgColor theme="4" tint="0.39997558519241921"/>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Work Sans"/>
        <scheme val="major"/>
      </font>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Work Sans"/>
        <scheme val="major"/>
      </font>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Work Sans"/>
        <scheme val="major"/>
      </font>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Work Sans"/>
        <scheme val="major"/>
      </font>
      <alignment horizontal="general" vertical="top"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name val="Work Sans"/>
        <scheme val="major"/>
      </font>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Work Sans"/>
        <scheme val="major"/>
      </font>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Work Sans"/>
        <scheme val="major"/>
      </font>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Work Sans"/>
        <scheme val="major"/>
      </font>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Work Sans"/>
        <scheme val="major"/>
      </font>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Work Sans"/>
        <scheme val="major"/>
      </font>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name val="Work Sans"/>
        <scheme val="major"/>
      </font>
      <alignment horizontal="general" vertical="top" textRotation="0" indent="0" justifyLastLine="0" shrinkToFit="0" readingOrder="0"/>
    </dxf>
    <dxf>
      <font>
        <strike val="0"/>
        <outline val="0"/>
        <shadow val="0"/>
        <u val="none"/>
        <vertAlign val="baseline"/>
        <name val="Work Sans"/>
        <scheme val="major"/>
      </font>
      <fill>
        <patternFill>
          <fgColor indexed="64"/>
          <bgColor theme="4" tint="0.3999755851924192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Work Sans"/>
        <scheme val="major"/>
      </font>
      <alignment horizontal="general" vertical="top" textRotation="0" indent="0" justifyLastLine="0" shrinkToFit="0" readingOrder="0"/>
    </dxf>
    <dxf>
      <font>
        <b val="0"/>
        <i val="0"/>
        <strike val="0"/>
        <condense val="0"/>
        <extend val="0"/>
        <outline val="0"/>
        <shadow val="0"/>
        <u val="none"/>
        <vertAlign val="baseline"/>
        <sz val="10"/>
        <color auto="1"/>
        <name val="Work Sans"/>
        <scheme val="major"/>
      </font>
      <alignment horizontal="general" vertical="top" textRotation="0" indent="0" justifyLastLine="0" shrinkToFit="0" readingOrder="0"/>
    </dxf>
    <dxf>
      <font>
        <b val="0"/>
        <i val="0"/>
        <strike val="0"/>
        <condense val="0"/>
        <extend val="0"/>
        <outline val="0"/>
        <shadow val="0"/>
        <u val="none"/>
        <vertAlign val="baseline"/>
        <sz val="10"/>
        <color auto="1"/>
        <name val="Work Sans"/>
        <scheme val="major"/>
      </font>
    </dxf>
  </dxfs>
  <tableStyles count="0" defaultTableStyle="TableStyleMedium2" defaultPivotStyle="PivotStyleLight16"/>
  <colors>
    <mruColors>
      <color rgb="FFFF9900"/>
      <color rgb="FFFFFFFF"/>
      <color rgb="FFFDFD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Non-Compliance Trend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'Trend Analysis Report'!$D$7</c:f>
              <c:strCache>
                <c:ptCount val="1"/>
                <c:pt idx="0">
                  <c:v>Non-Compliance found</c:v>
                </c:pt>
              </c:strCache>
            </c:strRef>
          </c:tx>
          <c:spPr>
            <a:solidFill>
              <a:schemeClr val="accent1"/>
            </a:solidFill>
            <a:ln>
              <a:noFill/>
            </a:ln>
            <a:effectLst/>
          </c:spPr>
          <c:invertIfNegative val="0"/>
          <c:cat>
            <c:strRef>
              <c:f>'Trend Analysis Report'!$E$6:$M$6</c:f>
              <c:strCache>
                <c:ptCount val="9"/>
                <c:pt idx="0">
                  <c:v>Week 1</c:v>
                </c:pt>
                <c:pt idx="1">
                  <c:v>Week 2</c:v>
                </c:pt>
                <c:pt idx="2">
                  <c:v>Week 3</c:v>
                </c:pt>
                <c:pt idx="3">
                  <c:v>Week 4</c:v>
                </c:pt>
                <c:pt idx="4">
                  <c:v>Week 5</c:v>
                </c:pt>
                <c:pt idx="5">
                  <c:v>Week 6</c:v>
                </c:pt>
                <c:pt idx="6">
                  <c:v>Week 7</c:v>
                </c:pt>
                <c:pt idx="7">
                  <c:v>Week 8</c:v>
                </c:pt>
                <c:pt idx="8">
                  <c:v>Week 9</c:v>
                </c:pt>
              </c:strCache>
            </c:strRef>
          </c:cat>
          <c:val>
            <c:numRef>
              <c:f>'Trend Analysis Report'!$E$7:$M$7</c:f>
              <c:numCache>
                <c:formatCode>General</c:formatCode>
                <c:ptCount val="9"/>
                <c:pt idx="0">
                  <c:v>1</c:v>
                </c:pt>
                <c:pt idx="1">
                  <c:v>5</c:v>
                </c:pt>
                <c:pt idx="2">
                  <c:v>10</c:v>
                </c:pt>
                <c:pt idx="3">
                  <c:v>23</c:v>
                </c:pt>
                <c:pt idx="4">
                  <c:v>12</c:v>
                </c:pt>
                <c:pt idx="5">
                  <c:v>9</c:v>
                </c:pt>
                <c:pt idx="6">
                  <c:v>12</c:v>
                </c:pt>
                <c:pt idx="7">
                  <c:v>11</c:v>
                </c:pt>
                <c:pt idx="8">
                  <c:v>10</c:v>
                </c:pt>
              </c:numCache>
            </c:numRef>
          </c:val>
          <c:extLst>
            <c:ext xmlns:c16="http://schemas.microsoft.com/office/drawing/2014/chart" uri="{C3380CC4-5D6E-409C-BE32-E72D297353CC}">
              <c16:uniqueId val="{00000000-3D3C-48FC-972C-DCB1DF3C9BB6}"/>
            </c:ext>
          </c:extLst>
        </c:ser>
        <c:ser>
          <c:idx val="2"/>
          <c:order val="2"/>
          <c:tx>
            <c:strRef>
              <c:f>'Trend Analysis Report'!$D$9</c:f>
              <c:strCache>
                <c:ptCount val="1"/>
                <c:pt idx="0">
                  <c:v>Non-Compliance closed</c:v>
                </c:pt>
              </c:strCache>
            </c:strRef>
          </c:tx>
          <c:spPr>
            <a:solidFill>
              <a:schemeClr val="accent3"/>
            </a:solidFill>
            <a:ln>
              <a:noFill/>
            </a:ln>
            <a:effectLst/>
          </c:spPr>
          <c:invertIfNegative val="0"/>
          <c:cat>
            <c:strRef>
              <c:f>'Trend Analysis Report'!$E$6:$M$6</c:f>
              <c:strCache>
                <c:ptCount val="9"/>
                <c:pt idx="0">
                  <c:v>Week 1</c:v>
                </c:pt>
                <c:pt idx="1">
                  <c:v>Week 2</c:v>
                </c:pt>
                <c:pt idx="2">
                  <c:v>Week 3</c:v>
                </c:pt>
                <c:pt idx="3">
                  <c:v>Week 4</c:v>
                </c:pt>
                <c:pt idx="4">
                  <c:v>Week 5</c:v>
                </c:pt>
                <c:pt idx="5">
                  <c:v>Week 6</c:v>
                </c:pt>
                <c:pt idx="6">
                  <c:v>Week 7</c:v>
                </c:pt>
                <c:pt idx="7">
                  <c:v>Week 8</c:v>
                </c:pt>
                <c:pt idx="8">
                  <c:v>Week 9</c:v>
                </c:pt>
              </c:strCache>
            </c:strRef>
          </c:cat>
          <c:val>
            <c:numRef>
              <c:f>'Trend Analysis Report'!$E$9:$M$9</c:f>
              <c:numCache>
                <c:formatCode>General</c:formatCode>
                <c:ptCount val="9"/>
                <c:pt idx="0">
                  <c:v>0</c:v>
                </c:pt>
                <c:pt idx="1">
                  <c:v>3</c:v>
                </c:pt>
                <c:pt idx="2">
                  <c:v>6</c:v>
                </c:pt>
                <c:pt idx="3">
                  <c:v>17</c:v>
                </c:pt>
                <c:pt idx="4">
                  <c:v>10</c:v>
                </c:pt>
                <c:pt idx="5">
                  <c:v>8</c:v>
                </c:pt>
                <c:pt idx="6">
                  <c:v>11</c:v>
                </c:pt>
                <c:pt idx="7">
                  <c:v>3</c:v>
                </c:pt>
                <c:pt idx="8">
                  <c:v>18</c:v>
                </c:pt>
              </c:numCache>
            </c:numRef>
          </c:val>
          <c:extLst>
            <c:ext xmlns:c16="http://schemas.microsoft.com/office/drawing/2014/chart" uri="{C3380CC4-5D6E-409C-BE32-E72D297353CC}">
              <c16:uniqueId val="{00000001-3D3C-48FC-972C-DCB1DF3C9BB6}"/>
            </c:ext>
          </c:extLst>
        </c:ser>
        <c:ser>
          <c:idx val="4"/>
          <c:order val="4"/>
          <c:tx>
            <c:strRef>
              <c:f>'Trend Analysis Report'!$D$11</c:f>
              <c:strCache>
                <c:ptCount val="1"/>
                <c:pt idx="0">
                  <c:v>Non-Compliance Found cumulative</c:v>
                </c:pt>
              </c:strCache>
            </c:strRef>
          </c:tx>
          <c:spPr>
            <a:solidFill>
              <a:schemeClr val="accent5"/>
            </a:solidFill>
            <a:ln>
              <a:noFill/>
            </a:ln>
            <a:effectLst/>
          </c:spPr>
          <c:invertIfNegative val="0"/>
          <c:cat>
            <c:strRef>
              <c:f>'Trend Analysis Report'!$E$6:$M$6</c:f>
              <c:strCache>
                <c:ptCount val="9"/>
                <c:pt idx="0">
                  <c:v>Week 1</c:v>
                </c:pt>
                <c:pt idx="1">
                  <c:v>Week 2</c:v>
                </c:pt>
                <c:pt idx="2">
                  <c:v>Week 3</c:v>
                </c:pt>
                <c:pt idx="3">
                  <c:v>Week 4</c:v>
                </c:pt>
                <c:pt idx="4">
                  <c:v>Week 5</c:v>
                </c:pt>
                <c:pt idx="5">
                  <c:v>Week 6</c:v>
                </c:pt>
                <c:pt idx="6">
                  <c:v>Week 7</c:v>
                </c:pt>
                <c:pt idx="7">
                  <c:v>Week 8</c:v>
                </c:pt>
                <c:pt idx="8">
                  <c:v>Week 9</c:v>
                </c:pt>
              </c:strCache>
            </c:strRef>
          </c:cat>
          <c:val>
            <c:numRef>
              <c:f>'Trend Analysis Report'!$E$11:$M$11</c:f>
              <c:numCache>
                <c:formatCode>General</c:formatCode>
                <c:ptCount val="9"/>
                <c:pt idx="0">
                  <c:v>1</c:v>
                </c:pt>
                <c:pt idx="1">
                  <c:v>6</c:v>
                </c:pt>
                <c:pt idx="2">
                  <c:v>16</c:v>
                </c:pt>
                <c:pt idx="3">
                  <c:v>39</c:v>
                </c:pt>
                <c:pt idx="4">
                  <c:v>51</c:v>
                </c:pt>
                <c:pt idx="5">
                  <c:v>60</c:v>
                </c:pt>
                <c:pt idx="6">
                  <c:v>72</c:v>
                </c:pt>
                <c:pt idx="7">
                  <c:v>83</c:v>
                </c:pt>
                <c:pt idx="8">
                  <c:v>93</c:v>
                </c:pt>
              </c:numCache>
            </c:numRef>
          </c:val>
          <c:extLst>
            <c:ext xmlns:c16="http://schemas.microsoft.com/office/drawing/2014/chart" uri="{C3380CC4-5D6E-409C-BE32-E72D297353CC}">
              <c16:uniqueId val="{00000002-3D3C-48FC-972C-DCB1DF3C9BB6}"/>
            </c:ext>
          </c:extLst>
        </c:ser>
        <c:ser>
          <c:idx val="6"/>
          <c:order val="6"/>
          <c:tx>
            <c:strRef>
              <c:f>'Trend Analysis Report'!$D$13</c:f>
              <c:strCache>
                <c:ptCount val="1"/>
                <c:pt idx="0">
                  <c:v>Non-Compliance closed cumulative</c:v>
                </c:pt>
              </c:strCache>
            </c:strRef>
          </c:tx>
          <c:spPr>
            <a:solidFill>
              <a:schemeClr val="accent1">
                <a:lumMod val="60000"/>
              </a:schemeClr>
            </a:solidFill>
            <a:ln>
              <a:noFill/>
            </a:ln>
            <a:effectLst/>
          </c:spPr>
          <c:invertIfNegative val="0"/>
          <c:cat>
            <c:strRef>
              <c:f>'Trend Analysis Report'!$E$6:$M$6</c:f>
              <c:strCache>
                <c:ptCount val="9"/>
                <c:pt idx="0">
                  <c:v>Week 1</c:v>
                </c:pt>
                <c:pt idx="1">
                  <c:v>Week 2</c:v>
                </c:pt>
                <c:pt idx="2">
                  <c:v>Week 3</c:v>
                </c:pt>
                <c:pt idx="3">
                  <c:v>Week 4</c:v>
                </c:pt>
                <c:pt idx="4">
                  <c:v>Week 5</c:v>
                </c:pt>
                <c:pt idx="5">
                  <c:v>Week 6</c:v>
                </c:pt>
                <c:pt idx="6">
                  <c:v>Week 7</c:v>
                </c:pt>
                <c:pt idx="7">
                  <c:v>Week 8</c:v>
                </c:pt>
                <c:pt idx="8">
                  <c:v>Week 9</c:v>
                </c:pt>
              </c:strCache>
            </c:strRef>
          </c:cat>
          <c:val>
            <c:numRef>
              <c:f>'Trend Analysis Report'!$E$13:$M$13</c:f>
              <c:numCache>
                <c:formatCode>General</c:formatCode>
                <c:ptCount val="9"/>
                <c:pt idx="0">
                  <c:v>0</c:v>
                </c:pt>
                <c:pt idx="1">
                  <c:v>3</c:v>
                </c:pt>
                <c:pt idx="2">
                  <c:v>9</c:v>
                </c:pt>
                <c:pt idx="3">
                  <c:v>26</c:v>
                </c:pt>
                <c:pt idx="4">
                  <c:v>36</c:v>
                </c:pt>
                <c:pt idx="5">
                  <c:v>44</c:v>
                </c:pt>
                <c:pt idx="6">
                  <c:v>55</c:v>
                </c:pt>
                <c:pt idx="7">
                  <c:v>58</c:v>
                </c:pt>
                <c:pt idx="8">
                  <c:v>72</c:v>
                </c:pt>
              </c:numCache>
            </c:numRef>
          </c:val>
          <c:extLst>
            <c:ext xmlns:c16="http://schemas.microsoft.com/office/drawing/2014/chart" uri="{C3380CC4-5D6E-409C-BE32-E72D297353CC}">
              <c16:uniqueId val="{00000003-3D3C-48FC-972C-DCB1DF3C9BB6}"/>
            </c:ext>
          </c:extLst>
        </c:ser>
        <c:dLbls>
          <c:showLegendKey val="0"/>
          <c:showVal val="0"/>
          <c:showCatName val="0"/>
          <c:showSerName val="0"/>
          <c:showPercent val="0"/>
          <c:showBubbleSize val="0"/>
        </c:dLbls>
        <c:gapWidth val="219"/>
        <c:overlap val="-27"/>
        <c:axId val="1514492511"/>
        <c:axId val="1523081983"/>
        <c:extLst>
          <c:ext xmlns:c15="http://schemas.microsoft.com/office/drawing/2012/chart" uri="{02D57815-91ED-43cb-92C2-25804820EDAC}">
            <c15:filteredBarSeries>
              <c15:ser>
                <c:idx val="1"/>
                <c:order val="1"/>
                <c:tx>
                  <c:strRef>
                    <c:extLst>
                      <c:ext uri="{02D57815-91ED-43cb-92C2-25804820EDAC}">
                        <c15:formulaRef>
                          <c15:sqref>'Trend Analysis Report'!$D$8</c15:sqref>
                        </c15:formulaRef>
                      </c:ext>
                    </c:extLst>
                    <c:strCache>
                      <c:ptCount val="1"/>
                    </c:strCache>
                  </c:strRef>
                </c:tx>
                <c:spPr>
                  <a:solidFill>
                    <a:schemeClr val="accent2"/>
                  </a:solidFill>
                  <a:ln>
                    <a:noFill/>
                  </a:ln>
                  <a:effectLst/>
                </c:spPr>
                <c:invertIfNegative val="0"/>
                <c:cat>
                  <c:strRef>
                    <c:extLst>
                      <c:ext uri="{02D57815-91ED-43cb-92C2-25804820EDAC}">
                        <c15:formulaRef>
                          <c15:sqref>'Trend Analysis Report'!$E$6:$M$6</c15:sqref>
                        </c15:formulaRef>
                      </c:ext>
                    </c:extLst>
                    <c:strCache>
                      <c:ptCount val="9"/>
                      <c:pt idx="0">
                        <c:v>Week 1</c:v>
                      </c:pt>
                      <c:pt idx="1">
                        <c:v>Week 2</c:v>
                      </c:pt>
                      <c:pt idx="2">
                        <c:v>Week 3</c:v>
                      </c:pt>
                      <c:pt idx="3">
                        <c:v>Week 4</c:v>
                      </c:pt>
                      <c:pt idx="4">
                        <c:v>Week 5</c:v>
                      </c:pt>
                      <c:pt idx="5">
                        <c:v>Week 6</c:v>
                      </c:pt>
                      <c:pt idx="6">
                        <c:v>Week 7</c:v>
                      </c:pt>
                      <c:pt idx="7">
                        <c:v>Week 8</c:v>
                      </c:pt>
                      <c:pt idx="8">
                        <c:v>Week 9</c:v>
                      </c:pt>
                    </c:strCache>
                  </c:strRef>
                </c:cat>
                <c:val>
                  <c:numRef>
                    <c:extLst>
                      <c:ext uri="{02D57815-91ED-43cb-92C2-25804820EDAC}">
                        <c15:formulaRef>
                          <c15:sqref>'Trend Analysis Report'!$E$8:$M$8</c15:sqref>
                        </c15:formulaRef>
                      </c:ext>
                    </c:extLst>
                    <c:numCache>
                      <c:formatCode>General</c:formatCode>
                      <c:ptCount val="9"/>
                    </c:numCache>
                  </c:numRef>
                </c:val>
                <c:extLst>
                  <c:ext xmlns:c16="http://schemas.microsoft.com/office/drawing/2014/chart" uri="{C3380CC4-5D6E-409C-BE32-E72D297353CC}">
                    <c16:uniqueId val="{00000004-3D3C-48FC-972C-DCB1DF3C9BB6}"/>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'Trend Analysis Report'!$D$10</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'Trend Analysis Report'!$E$6:$M$6</c15:sqref>
                        </c15:formulaRef>
                      </c:ext>
                    </c:extLst>
                    <c:strCache>
                      <c:ptCount val="9"/>
                      <c:pt idx="0">
                        <c:v>Week 1</c:v>
                      </c:pt>
                      <c:pt idx="1">
                        <c:v>Week 2</c:v>
                      </c:pt>
                      <c:pt idx="2">
                        <c:v>Week 3</c:v>
                      </c:pt>
                      <c:pt idx="3">
                        <c:v>Week 4</c:v>
                      </c:pt>
                      <c:pt idx="4">
                        <c:v>Week 5</c:v>
                      </c:pt>
                      <c:pt idx="5">
                        <c:v>Week 6</c:v>
                      </c:pt>
                      <c:pt idx="6">
                        <c:v>Week 7</c:v>
                      </c:pt>
                      <c:pt idx="7">
                        <c:v>Week 8</c:v>
                      </c:pt>
                      <c:pt idx="8">
                        <c:v>Week 9</c:v>
                      </c:pt>
                    </c:strCache>
                  </c:strRef>
                </c:cat>
                <c:val>
                  <c:numRef>
                    <c:extLst xmlns:c15="http://schemas.microsoft.com/office/drawing/2012/chart">
                      <c:ext xmlns:c15="http://schemas.microsoft.com/office/drawing/2012/chart" uri="{02D57815-91ED-43cb-92C2-25804820EDAC}">
                        <c15:formulaRef>
                          <c15:sqref>'Trend Analysis Report'!$E$10:$M$10</c15:sqref>
                        </c15:formulaRef>
                      </c:ext>
                    </c:extLst>
                    <c:numCache>
                      <c:formatCode>General</c:formatCode>
                      <c:ptCount val="9"/>
                    </c:numCache>
                  </c:numRef>
                </c:val>
                <c:extLst xmlns:c15="http://schemas.microsoft.com/office/drawing/2012/chart">
                  <c:ext xmlns:c16="http://schemas.microsoft.com/office/drawing/2014/chart" uri="{C3380CC4-5D6E-409C-BE32-E72D297353CC}">
                    <c16:uniqueId val="{00000005-3D3C-48FC-972C-DCB1DF3C9BB6}"/>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'Trend Analysis Report'!$D$12</c15:sqref>
                        </c15:formulaRef>
                      </c:ext>
                    </c:extLst>
                    <c:strCache>
                      <c:ptCount val="1"/>
                    </c:strCache>
                  </c:strRef>
                </c:tx>
                <c:spPr>
                  <a:solidFill>
                    <a:schemeClr val="accent6"/>
                  </a:solidFill>
                  <a:ln>
                    <a:noFill/>
                  </a:ln>
                  <a:effectLst/>
                </c:spPr>
                <c:invertIfNegative val="0"/>
                <c:cat>
                  <c:strRef>
                    <c:extLst xmlns:c15="http://schemas.microsoft.com/office/drawing/2012/chart">
                      <c:ext xmlns:c15="http://schemas.microsoft.com/office/drawing/2012/chart" uri="{02D57815-91ED-43cb-92C2-25804820EDAC}">
                        <c15:formulaRef>
                          <c15:sqref>'Trend Analysis Report'!$E$6:$M$6</c15:sqref>
                        </c15:formulaRef>
                      </c:ext>
                    </c:extLst>
                    <c:strCache>
                      <c:ptCount val="9"/>
                      <c:pt idx="0">
                        <c:v>Week 1</c:v>
                      </c:pt>
                      <c:pt idx="1">
                        <c:v>Week 2</c:v>
                      </c:pt>
                      <c:pt idx="2">
                        <c:v>Week 3</c:v>
                      </c:pt>
                      <c:pt idx="3">
                        <c:v>Week 4</c:v>
                      </c:pt>
                      <c:pt idx="4">
                        <c:v>Week 5</c:v>
                      </c:pt>
                      <c:pt idx="5">
                        <c:v>Week 6</c:v>
                      </c:pt>
                      <c:pt idx="6">
                        <c:v>Week 7</c:v>
                      </c:pt>
                      <c:pt idx="7">
                        <c:v>Week 8</c:v>
                      </c:pt>
                      <c:pt idx="8">
                        <c:v>Week 9</c:v>
                      </c:pt>
                    </c:strCache>
                  </c:strRef>
                </c:cat>
                <c:val>
                  <c:numRef>
                    <c:extLst xmlns:c15="http://schemas.microsoft.com/office/drawing/2012/chart">
                      <c:ext xmlns:c15="http://schemas.microsoft.com/office/drawing/2012/chart" uri="{02D57815-91ED-43cb-92C2-25804820EDAC}">
                        <c15:formulaRef>
                          <c15:sqref>'Trend Analysis Report'!$E$12:$M$12</c15:sqref>
                        </c15:formulaRef>
                      </c:ext>
                    </c:extLst>
                    <c:numCache>
                      <c:formatCode>General</c:formatCode>
                      <c:ptCount val="9"/>
                    </c:numCache>
                  </c:numRef>
                </c:val>
                <c:extLst xmlns:c15="http://schemas.microsoft.com/office/drawing/2012/chart">
                  <c:ext xmlns:c16="http://schemas.microsoft.com/office/drawing/2014/chart" uri="{C3380CC4-5D6E-409C-BE32-E72D297353CC}">
                    <c16:uniqueId val="{00000006-3D3C-48FC-972C-DCB1DF3C9BB6}"/>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'Trend Analysis Report'!$D$14</c15:sqref>
                        </c15:formulaRef>
                      </c:ext>
                    </c:extLst>
                    <c:strCache>
                      <c:ptCount val="1"/>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'Trend Analysis Report'!$E$6:$M$6</c15:sqref>
                        </c15:formulaRef>
                      </c:ext>
                    </c:extLst>
                    <c:strCache>
                      <c:ptCount val="9"/>
                      <c:pt idx="0">
                        <c:v>Week 1</c:v>
                      </c:pt>
                      <c:pt idx="1">
                        <c:v>Week 2</c:v>
                      </c:pt>
                      <c:pt idx="2">
                        <c:v>Week 3</c:v>
                      </c:pt>
                      <c:pt idx="3">
                        <c:v>Week 4</c:v>
                      </c:pt>
                      <c:pt idx="4">
                        <c:v>Week 5</c:v>
                      </c:pt>
                      <c:pt idx="5">
                        <c:v>Week 6</c:v>
                      </c:pt>
                      <c:pt idx="6">
                        <c:v>Week 7</c:v>
                      </c:pt>
                      <c:pt idx="7">
                        <c:v>Week 8</c:v>
                      </c:pt>
                      <c:pt idx="8">
                        <c:v>Week 9</c:v>
                      </c:pt>
                    </c:strCache>
                  </c:strRef>
                </c:cat>
                <c:val>
                  <c:numRef>
                    <c:extLst xmlns:c15="http://schemas.microsoft.com/office/drawing/2012/chart">
                      <c:ext xmlns:c15="http://schemas.microsoft.com/office/drawing/2012/chart" uri="{02D57815-91ED-43cb-92C2-25804820EDAC}">
                        <c15:formulaRef>
                          <c15:sqref>'Trend Analysis Report'!$E$14:$M$14</c15:sqref>
                        </c15:formulaRef>
                      </c:ext>
                    </c:extLst>
                    <c:numCache>
                      <c:formatCode>General</c:formatCode>
                      <c:ptCount val="9"/>
                    </c:numCache>
                  </c:numRef>
                </c:val>
                <c:extLst xmlns:c15="http://schemas.microsoft.com/office/drawing/2012/chart">
                  <c:ext xmlns:c16="http://schemas.microsoft.com/office/drawing/2014/chart" uri="{C3380CC4-5D6E-409C-BE32-E72D297353CC}">
                    <c16:uniqueId val="{00000007-3D3C-48FC-972C-DCB1DF3C9BB6}"/>
                  </c:ext>
                </c:extLst>
              </c15:ser>
            </c15:filteredBarSeries>
          </c:ext>
        </c:extLst>
      </c:barChart>
      <c:catAx>
        <c:axId val="1514492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081983"/>
        <c:crosses val="autoZero"/>
        <c:auto val="1"/>
        <c:lblAlgn val="ctr"/>
        <c:lblOffset val="100"/>
        <c:noMultiLvlLbl val="0"/>
      </c:catAx>
      <c:valAx>
        <c:axId val="15230819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4925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Issue Trend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'Trend Analysis Report'!$D$35</c:f>
              <c:strCache>
                <c:ptCount val="1"/>
                <c:pt idx="0">
                  <c:v>Issue found</c:v>
                </c:pt>
              </c:strCache>
            </c:strRef>
          </c:tx>
          <c:spPr>
            <a:solidFill>
              <a:schemeClr val="accent1"/>
            </a:solidFill>
            <a:ln>
              <a:noFill/>
            </a:ln>
            <a:effectLst/>
          </c:spPr>
          <c:invertIfNegative val="0"/>
          <c:cat>
            <c:strRef>
              <c:f>'Trend Analysis Report'!$E$34:$M$34</c:f>
              <c:strCache>
                <c:ptCount val="9"/>
                <c:pt idx="0">
                  <c:v>Week 1</c:v>
                </c:pt>
                <c:pt idx="1">
                  <c:v>Week 2</c:v>
                </c:pt>
                <c:pt idx="2">
                  <c:v>Week 3</c:v>
                </c:pt>
                <c:pt idx="3">
                  <c:v>Week 4</c:v>
                </c:pt>
                <c:pt idx="4">
                  <c:v>Week 5</c:v>
                </c:pt>
                <c:pt idx="5">
                  <c:v>Week 6</c:v>
                </c:pt>
                <c:pt idx="6">
                  <c:v>Week 7</c:v>
                </c:pt>
                <c:pt idx="7">
                  <c:v>Week 8</c:v>
                </c:pt>
                <c:pt idx="8">
                  <c:v>Week 9</c:v>
                </c:pt>
              </c:strCache>
            </c:strRef>
          </c:cat>
          <c:val>
            <c:numRef>
              <c:f>'Trend Analysis Report'!$E$35:$M$35</c:f>
              <c:numCache>
                <c:formatCode>General</c:formatCode>
                <c:ptCount val="9"/>
                <c:pt idx="0">
                  <c:v>1</c:v>
                </c:pt>
                <c:pt idx="1">
                  <c:v>5</c:v>
                </c:pt>
                <c:pt idx="2">
                  <c:v>10</c:v>
                </c:pt>
                <c:pt idx="3">
                  <c:v>23</c:v>
                </c:pt>
                <c:pt idx="4">
                  <c:v>12</c:v>
                </c:pt>
                <c:pt idx="5">
                  <c:v>9</c:v>
                </c:pt>
                <c:pt idx="6">
                  <c:v>12</c:v>
                </c:pt>
                <c:pt idx="7">
                  <c:v>11</c:v>
                </c:pt>
                <c:pt idx="8">
                  <c:v>10</c:v>
                </c:pt>
              </c:numCache>
            </c:numRef>
          </c:val>
          <c:extLst>
            <c:ext xmlns:c16="http://schemas.microsoft.com/office/drawing/2014/chart" uri="{C3380CC4-5D6E-409C-BE32-E72D297353CC}">
              <c16:uniqueId val="{00000000-A1C0-4928-A0BE-D6711D26051B}"/>
            </c:ext>
          </c:extLst>
        </c:ser>
        <c:ser>
          <c:idx val="2"/>
          <c:order val="2"/>
          <c:tx>
            <c:strRef>
              <c:f>'Trend Analysis Report'!$D$37</c:f>
              <c:strCache>
                <c:ptCount val="1"/>
                <c:pt idx="0">
                  <c:v>Issue closed</c:v>
                </c:pt>
              </c:strCache>
            </c:strRef>
          </c:tx>
          <c:spPr>
            <a:solidFill>
              <a:schemeClr val="accent3"/>
            </a:solidFill>
            <a:ln>
              <a:noFill/>
            </a:ln>
            <a:effectLst/>
          </c:spPr>
          <c:invertIfNegative val="0"/>
          <c:cat>
            <c:strRef>
              <c:f>'Trend Analysis Report'!$E$34:$M$34</c:f>
              <c:strCache>
                <c:ptCount val="9"/>
                <c:pt idx="0">
                  <c:v>Week 1</c:v>
                </c:pt>
                <c:pt idx="1">
                  <c:v>Week 2</c:v>
                </c:pt>
                <c:pt idx="2">
                  <c:v>Week 3</c:v>
                </c:pt>
                <c:pt idx="3">
                  <c:v>Week 4</c:v>
                </c:pt>
                <c:pt idx="4">
                  <c:v>Week 5</c:v>
                </c:pt>
                <c:pt idx="5">
                  <c:v>Week 6</c:v>
                </c:pt>
                <c:pt idx="6">
                  <c:v>Week 7</c:v>
                </c:pt>
                <c:pt idx="7">
                  <c:v>Week 8</c:v>
                </c:pt>
                <c:pt idx="8">
                  <c:v>Week 9</c:v>
                </c:pt>
              </c:strCache>
            </c:strRef>
          </c:cat>
          <c:val>
            <c:numRef>
              <c:f>'Trend Analysis Report'!$E$37:$M$37</c:f>
              <c:numCache>
                <c:formatCode>General</c:formatCode>
                <c:ptCount val="9"/>
                <c:pt idx="0">
                  <c:v>0</c:v>
                </c:pt>
                <c:pt idx="1">
                  <c:v>3</c:v>
                </c:pt>
                <c:pt idx="2">
                  <c:v>6</c:v>
                </c:pt>
                <c:pt idx="3">
                  <c:v>17</c:v>
                </c:pt>
                <c:pt idx="4">
                  <c:v>10</c:v>
                </c:pt>
                <c:pt idx="5">
                  <c:v>8</c:v>
                </c:pt>
                <c:pt idx="6">
                  <c:v>11</c:v>
                </c:pt>
                <c:pt idx="7">
                  <c:v>3</c:v>
                </c:pt>
                <c:pt idx="8">
                  <c:v>18</c:v>
                </c:pt>
              </c:numCache>
            </c:numRef>
          </c:val>
          <c:extLst>
            <c:ext xmlns:c16="http://schemas.microsoft.com/office/drawing/2014/chart" uri="{C3380CC4-5D6E-409C-BE32-E72D297353CC}">
              <c16:uniqueId val="{00000001-A1C0-4928-A0BE-D6711D26051B}"/>
            </c:ext>
          </c:extLst>
        </c:ser>
        <c:ser>
          <c:idx val="4"/>
          <c:order val="4"/>
          <c:tx>
            <c:strRef>
              <c:f>'Trend Analysis Report'!$D$39</c:f>
              <c:strCache>
                <c:ptCount val="1"/>
                <c:pt idx="0">
                  <c:v>Issue Found cumulative</c:v>
                </c:pt>
              </c:strCache>
            </c:strRef>
          </c:tx>
          <c:spPr>
            <a:solidFill>
              <a:schemeClr val="accent5"/>
            </a:solidFill>
            <a:ln>
              <a:noFill/>
            </a:ln>
            <a:effectLst/>
          </c:spPr>
          <c:invertIfNegative val="0"/>
          <c:cat>
            <c:strRef>
              <c:f>'Trend Analysis Report'!$E$34:$M$34</c:f>
              <c:strCache>
                <c:ptCount val="9"/>
                <c:pt idx="0">
                  <c:v>Week 1</c:v>
                </c:pt>
                <c:pt idx="1">
                  <c:v>Week 2</c:v>
                </c:pt>
                <c:pt idx="2">
                  <c:v>Week 3</c:v>
                </c:pt>
                <c:pt idx="3">
                  <c:v>Week 4</c:v>
                </c:pt>
                <c:pt idx="4">
                  <c:v>Week 5</c:v>
                </c:pt>
                <c:pt idx="5">
                  <c:v>Week 6</c:v>
                </c:pt>
                <c:pt idx="6">
                  <c:v>Week 7</c:v>
                </c:pt>
                <c:pt idx="7">
                  <c:v>Week 8</c:v>
                </c:pt>
                <c:pt idx="8">
                  <c:v>Week 9</c:v>
                </c:pt>
              </c:strCache>
            </c:strRef>
          </c:cat>
          <c:val>
            <c:numRef>
              <c:f>'Trend Analysis Report'!$E$39:$M$39</c:f>
              <c:numCache>
                <c:formatCode>General</c:formatCode>
                <c:ptCount val="9"/>
                <c:pt idx="0">
                  <c:v>1</c:v>
                </c:pt>
                <c:pt idx="1">
                  <c:v>6</c:v>
                </c:pt>
                <c:pt idx="2">
                  <c:v>20</c:v>
                </c:pt>
                <c:pt idx="3">
                  <c:v>39</c:v>
                </c:pt>
                <c:pt idx="4">
                  <c:v>51</c:v>
                </c:pt>
                <c:pt idx="5">
                  <c:v>60</c:v>
                </c:pt>
                <c:pt idx="6">
                  <c:v>72</c:v>
                </c:pt>
                <c:pt idx="7">
                  <c:v>83</c:v>
                </c:pt>
                <c:pt idx="8">
                  <c:v>93</c:v>
                </c:pt>
              </c:numCache>
            </c:numRef>
          </c:val>
          <c:extLst>
            <c:ext xmlns:c16="http://schemas.microsoft.com/office/drawing/2014/chart" uri="{C3380CC4-5D6E-409C-BE32-E72D297353CC}">
              <c16:uniqueId val="{00000002-A1C0-4928-A0BE-D6711D26051B}"/>
            </c:ext>
          </c:extLst>
        </c:ser>
        <c:ser>
          <c:idx val="6"/>
          <c:order val="6"/>
          <c:tx>
            <c:strRef>
              <c:f>'Trend Analysis Report'!$D$41</c:f>
              <c:strCache>
                <c:ptCount val="1"/>
                <c:pt idx="0">
                  <c:v>Issue closed cumulative</c:v>
                </c:pt>
              </c:strCache>
            </c:strRef>
          </c:tx>
          <c:spPr>
            <a:solidFill>
              <a:schemeClr val="accent1">
                <a:lumMod val="60000"/>
              </a:schemeClr>
            </a:solidFill>
            <a:ln>
              <a:noFill/>
            </a:ln>
            <a:effectLst/>
          </c:spPr>
          <c:invertIfNegative val="0"/>
          <c:cat>
            <c:strRef>
              <c:f>'Trend Analysis Report'!$E$34:$M$34</c:f>
              <c:strCache>
                <c:ptCount val="9"/>
                <c:pt idx="0">
                  <c:v>Week 1</c:v>
                </c:pt>
                <c:pt idx="1">
                  <c:v>Week 2</c:v>
                </c:pt>
                <c:pt idx="2">
                  <c:v>Week 3</c:v>
                </c:pt>
                <c:pt idx="3">
                  <c:v>Week 4</c:v>
                </c:pt>
                <c:pt idx="4">
                  <c:v>Week 5</c:v>
                </c:pt>
                <c:pt idx="5">
                  <c:v>Week 6</c:v>
                </c:pt>
                <c:pt idx="6">
                  <c:v>Week 7</c:v>
                </c:pt>
                <c:pt idx="7">
                  <c:v>Week 8</c:v>
                </c:pt>
                <c:pt idx="8">
                  <c:v>Week 9</c:v>
                </c:pt>
              </c:strCache>
            </c:strRef>
          </c:cat>
          <c:val>
            <c:numRef>
              <c:f>'Trend Analysis Report'!$E$41:$M$41</c:f>
              <c:numCache>
                <c:formatCode>General</c:formatCode>
                <c:ptCount val="9"/>
                <c:pt idx="0">
                  <c:v>0</c:v>
                </c:pt>
                <c:pt idx="1">
                  <c:v>3</c:v>
                </c:pt>
                <c:pt idx="2">
                  <c:v>9</c:v>
                </c:pt>
                <c:pt idx="3">
                  <c:v>26</c:v>
                </c:pt>
                <c:pt idx="4">
                  <c:v>36</c:v>
                </c:pt>
                <c:pt idx="5">
                  <c:v>44</c:v>
                </c:pt>
                <c:pt idx="6">
                  <c:v>55</c:v>
                </c:pt>
                <c:pt idx="7">
                  <c:v>58</c:v>
                </c:pt>
                <c:pt idx="8">
                  <c:v>82</c:v>
                </c:pt>
              </c:numCache>
            </c:numRef>
          </c:val>
          <c:extLst>
            <c:ext xmlns:c16="http://schemas.microsoft.com/office/drawing/2014/chart" uri="{C3380CC4-5D6E-409C-BE32-E72D297353CC}">
              <c16:uniqueId val="{00000003-A1C0-4928-A0BE-D6711D26051B}"/>
            </c:ext>
          </c:extLst>
        </c:ser>
        <c:dLbls>
          <c:showLegendKey val="0"/>
          <c:showVal val="0"/>
          <c:showCatName val="0"/>
          <c:showSerName val="0"/>
          <c:showPercent val="0"/>
          <c:showBubbleSize val="0"/>
        </c:dLbls>
        <c:gapWidth val="219"/>
        <c:overlap val="-27"/>
        <c:axId val="1572372975"/>
        <c:axId val="1656268816"/>
        <c:extLst>
          <c:ext xmlns:c15="http://schemas.microsoft.com/office/drawing/2012/chart" uri="{02D57815-91ED-43cb-92C2-25804820EDAC}">
            <c15:filteredBarSeries>
              <c15:ser>
                <c:idx val="1"/>
                <c:order val="1"/>
                <c:tx>
                  <c:strRef>
                    <c:extLst>
                      <c:ext uri="{02D57815-91ED-43cb-92C2-25804820EDAC}">
                        <c15:formulaRef>
                          <c15:sqref>'Trend Analysis Report'!$D$36</c15:sqref>
                        </c15:formulaRef>
                      </c:ext>
                    </c:extLst>
                    <c:strCache>
                      <c:ptCount val="1"/>
                    </c:strCache>
                  </c:strRef>
                </c:tx>
                <c:spPr>
                  <a:solidFill>
                    <a:schemeClr val="accent2"/>
                  </a:solidFill>
                  <a:ln>
                    <a:noFill/>
                  </a:ln>
                  <a:effectLst/>
                </c:spPr>
                <c:invertIfNegative val="0"/>
                <c:cat>
                  <c:strRef>
                    <c:extLst>
                      <c:ext uri="{02D57815-91ED-43cb-92C2-25804820EDAC}">
                        <c15:formulaRef>
                          <c15:sqref>'Trend Analysis Report'!$E$34:$M$34</c15:sqref>
                        </c15:formulaRef>
                      </c:ext>
                    </c:extLst>
                    <c:strCache>
                      <c:ptCount val="9"/>
                      <c:pt idx="0">
                        <c:v>Week 1</c:v>
                      </c:pt>
                      <c:pt idx="1">
                        <c:v>Week 2</c:v>
                      </c:pt>
                      <c:pt idx="2">
                        <c:v>Week 3</c:v>
                      </c:pt>
                      <c:pt idx="3">
                        <c:v>Week 4</c:v>
                      </c:pt>
                      <c:pt idx="4">
                        <c:v>Week 5</c:v>
                      </c:pt>
                      <c:pt idx="5">
                        <c:v>Week 6</c:v>
                      </c:pt>
                      <c:pt idx="6">
                        <c:v>Week 7</c:v>
                      </c:pt>
                      <c:pt idx="7">
                        <c:v>Week 8</c:v>
                      </c:pt>
                      <c:pt idx="8">
                        <c:v>Week 9</c:v>
                      </c:pt>
                    </c:strCache>
                  </c:strRef>
                </c:cat>
                <c:val>
                  <c:numRef>
                    <c:extLst>
                      <c:ext uri="{02D57815-91ED-43cb-92C2-25804820EDAC}">
                        <c15:formulaRef>
                          <c15:sqref>'Trend Analysis Report'!$E$36:$M$36</c15:sqref>
                        </c15:formulaRef>
                      </c:ext>
                    </c:extLst>
                    <c:numCache>
                      <c:formatCode>General</c:formatCode>
                      <c:ptCount val="9"/>
                    </c:numCache>
                  </c:numRef>
                </c:val>
                <c:extLst>
                  <c:ext xmlns:c16="http://schemas.microsoft.com/office/drawing/2014/chart" uri="{C3380CC4-5D6E-409C-BE32-E72D297353CC}">
                    <c16:uniqueId val="{00000004-A1C0-4928-A0BE-D6711D26051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'Trend Analysis Report'!$D$38</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'Trend Analysis Report'!$E$34:$M$34</c15:sqref>
                        </c15:formulaRef>
                      </c:ext>
                    </c:extLst>
                    <c:strCache>
                      <c:ptCount val="9"/>
                      <c:pt idx="0">
                        <c:v>Week 1</c:v>
                      </c:pt>
                      <c:pt idx="1">
                        <c:v>Week 2</c:v>
                      </c:pt>
                      <c:pt idx="2">
                        <c:v>Week 3</c:v>
                      </c:pt>
                      <c:pt idx="3">
                        <c:v>Week 4</c:v>
                      </c:pt>
                      <c:pt idx="4">
                        <c:v>Week 5</c:v>
                      </c:pt>
                      <c:pt idx="5">
                        <c:v>Week 6</c:v>
                      </c:pt>
                      <c:pt idx="6">
                        <c:v>Week 7</c:v>
                      </c:pt>
                      <c:pt idx="7">
                        <c:v>Week 8</c:v>
                      </c:pt>
                      <c:pt idx="8">
                        <c:v>Week 9</c:v>
                      </c:pt>
                    </c:strCache>
                  </c:strRef>
                </c:cat>
                <c:val>
                  <c:numRef>
                    <c:extLst xmlns:c15="http://schemas.microsoft.com/office/drawing/2012/chart">
                      <c:ext xmlns:c15="http://schemas.microsoft.com/office/drawing/2012/chart" uri="{02D57815-91ED-43cb-92C2-25804820EDAC}">
                        <c15:formulaRef>
                          <c15:sqref>'Trend Analysis Report'!$E$38:$M$38</c15:sqref>
                        </c15:formulaRef>
                      </c:ext>
                    </c:extLst>
                    <c:numCache>
                      <c:formatCode>General</c:formatCode>
                      <c:ptCount val="9"/>
                    </c:numCache>
                  </c:numRef>
                </c:val>
                <c:extLst xmlns:c15="http://schemas.microsoft.com/office/drawing/2012/chart">
                  <c:ext xmlns:c16="http://schemas.microsoft.com/office/drawing/2014/chart" uri="{C3380CC4-5D6E-409C-BE32-E72D297353CC}">
                    <c16:uniqueId val="{00000005-A1C0-4928-A0BE-D6711D26051B}"/>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'Trend Analysis Report'!$D$40</c15:sqref>
                        </c15:formulaRef>
                      </c:ext>
                    </c:extLst>
                    <c:strCache>
                      <c:ptCount val="1"/>
                    </c:strCache>
                  </c:strRef>
                </c:tx>
                <c:spPr>
                  <a:solidFill>
                    <a:schemeClr val="accent6"/>
                  </a:solidFill>
                  <a:ln>
                    <a:noFill/>
                  </a:ln>
                  <a:effectLst/>
                </c:spPr>
                <c:invertIfNegative val="0"/>
                <c:cat>
                  <c:strRef>
                    <c:extLst xmlns:c15="http://schemas.microsoft.com/office/drawing/2012/chart">
                      <c:ext xmlns:c15="http://schemas.microsoft.com/office/drawing/2012/chart" uri="{02D57815-91ED-43cb-92C2-25804820EDAC}">
                        <c15:formulaRef>
                          <c15:sqref>'Trend Analysis Report'!$E$34:$M$34</c15:sqref>
                        </c15:formulaRef>
                      </c:ext>
                    </c:extLst>
                    <c:strCache>
                      <c:ptCount val="9"/>
                      <c:pt idx="0">
                        <c:v>Week 1</c:v>
                      </c:pt>
                      <c:pt idx="1">
                        <c:v>Week 2</c:v>
                      </c:pt>
                      <c:pt idx="2">
                        <c:v>Week 3</c:v>
                      </c:pt>
                      <c:pt idx="3">
                        <c:v>Week 4</c:v>
                      </c:pt>
                      <c:pt idx="4">
                        <c:v>Week 5</c:v>
                      </c:pt>
                      <c:pt idx="5">
                        <c:v>Week 6</c:v>
                      </c:pt>
                      <c:pt idx="6">
                        <c:v>Week 7</c:v>
                      </c:pt>
                      <c:pt idx="7">
                        <c:v>Week 8</c:v>
                      </c:pt>
                      <c:pt idx="8">
                        <c:v>Week 9</c:v>
                      </c:pt>
                    </c:strCache>
                  </c:strRef>
                </c:cat>
                <c:val>
                  <c:numRef>
                    <c:extLst xmlns:c15="http://schemas.microsoft.com/office/drawing/2012/chart">
                      <c:ext xmlns:c15="http://schemas.microsoft.com/office/drawing/2012/chart" uri="{02D57815-91ED-43cb-92C2-25804820EDAC}">
                        <c15:formulaRef>
                          <c15:sqref>'Trend Analysis Report'!$E$40:$M$40</c15:sqref>
                        </c15:formulaRef>
                      </c:ext>
                    </c:extLst>
                    <c:numCache>
                      <c:formatCode>General</c:formatCode>
                      <c:ptCount val="9"/>
                    </c:numCache>
                  </c:numRef>
                </c:val>
                <c:extLst xmlns:c15="http://schemas.microsoft.com/office/drawing/2012/chart">
                  <c:ext xmlns:c16="http://schemas.microsoft.com/office/drawing/2014/chart" uri="{C3380CC4-5D6E-409C-BE32-E72D297353CC}">
                    <c16:uniqueId val="{00000006-A1C0-4928-A0BE-D6711D26051B}"/>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'Trend Analysis Report'!$D$42</c15:sqref>
                        </c15:formulaRef>
                      </c:ext>
                    </c:extLst>
                    <c:strCache>
                      <c:ptCount val="1"/>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'Trend Analysis Report'!$E$34:$M$34</c15:sqref>
                        </c15:formulaRef>
                      </c:ext>
                    </c:extLst>
                    <c:strCache>
                      <c:ptCount val="9"/>
                      <c:pt idx="0">
                        <c:v>Week 1</c:v>
                      </c:pt>
                      <c:pt idx="1">
                        <c:v>Week 2</c:v>
                      </c:pt>
                      <c:pt idx="2">
                        <c:v>Week 3</c:v>
                      </c:pt>
                      <c:pt idx="3">
                        <c:v>Week 4</c:v>
                      </c:pt>
                      <c:pt idx="4">
                        <c:v>Week 5</c:v>
                      </c:pt>
                      <c:pt idx="5">
                        <c:v>Week 6</c:v>
                      </c:pt>
                      <c:pt idx="6">
                        <c:v>Week 7</c:v>
                      </c:pt>
                      <c:pt idx="7">
                        <c:v>Week 8</c:v>
                      </c:pt>
                      <c:pt idx="8">
                        <c:v>Week 9</c:v>
                      </c:pt>
                    </c:strCache>
                  </c:strRef>
                </c:cat>
                <c:val>
                  <c:numRef>
                    <c:extLst xmlns:c15="http://schemas.microsoft.com/office/drawing/2012/chart">
                      <c:ext xmlns:c15="http://schemas.microsoft.com/office/drawing/2012/chart" uri="{02D57815-91ED-43cb-92C2-25804820EDAC}">
                        <c15:formulaRef>
                          <c15:sqref>'Trend Analysis Report'!$E$42:$M$42</c15:sqref>
                        </c15:formulaRef>
                      </c:ext>
                    </c:extLst>
                    <c:numCache>
                      <c:formatCode>General</c:formatCode>
                      <c:ptCount val="9"/>
                    </c:numCache>
                  </c:numRef>
                </c:val>
                <c:extLst xmlns:c15="http://schemas.microsoft.com/office/drawing/2012/chart">
                  <c:ext xmlns:c16="http://schemas.microsoft.com/office/drawing/2014/chart" uri="{C3380CC4-5D6E-409C-BE32-E72D297353CC}">
                    <c16:uniqueId val="{00000007-A1C0-4928-A0BE-D6711D26051B}"/>
                  </c:ext>
                </c:extLst>
              </c15:ser>
            </c15:filteredBarSeries>
          </c:ext>
        </c:extLst>
      </c:barChart>
      <c:catAx>
        <c:axId val="15723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268816"/>
        <c:crosses val="autoZero"/>
        <c:auto val="1"/>
        <c:lblAlgn val="ctr"/>
        <c:lblOffset val="100"/>
        <c:noMultiLvlLbl val="0"/>
      </c:catAx>
      <c:valAx>
        <c:axId val="1656268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23729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Defect Trend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'Trend Analysis Report'!$D$62</c:f>
              <c:strCache>
                <c:ptCount val="1"/>
                <c:pt idx="0">
                  <c:v>Defect found</c:v>
                </c:pt>
              </c:strCache>
            </c:strRef>
          </c:tx>
          <c:spPr>
            <a:solidFill>
              <a:schemeClr val="accent1"/>
            </a:solidFill>
            <a:ln>
              <a:noFill/>
            </a:ln>
            <a:effectLst/>
          </c:spPr>
          <c:invertIfNegative val="0"/>
          <c:cat>
            <c:multiLvlStrRef>
              <c:f>'Trend Analysis Report'!$E$60:$M$61</c:f>
              <c:multiLvlStrCache>
                <c:ptCount val="9"/>
                <c:lvl>
                  <c:pt idx="0">
                    <c:v>Week 1</c:v>
                  </c:pt>
                  <c:pt idx="1">
                    <c:v>Week 2</c:v>
                  </c:pt>
                  <c:pt idx="2">
                    <c:v>Week 3</c:v>
                  </c:pt>
                  <c:pt idx="3">
                    <c:v>Week 4</c:v>
                  </c:pt>
                  <c:pt idx="4">
                    <c:v>Week 5</c:v>
                  </c:pt>
                  <c:pt idx="5">
                    <c:v>Week 6</c:v>
                  </c:pt>
                  <c:pt idx="6">
                    <c:v>Week 7</c:v>
                  </c:pt>
                  <c:pt idx="7">
                    <c:v>Week 8</c:v>
                  </c:pt>
                  <c:pt idx="8">
                    <c:v>Week 9</c:v>
                  </c:pt>
                </c:lvl>
                <c:lvl/>
              </c:multiLvlStrCache>
            </c:multiLvlStrRef>
          </c:cat>
          <c:val>
            <c:numRef>
              <c:f>'Trend Analysis Report'!$E$62:$M$62</c:f>
              <c:numCache>
                <c:formatCode>General</c:formatCode>
                <c:ptCount val="9"/>
                <c:pt idx="0">
                  <c:v>1</c:v>
                </c:pt>
                <c:pt idx="1">
                  <c:v>5</c:v>
                </c:pt>
                <c:pt idx="2">
                  <c:v>10</c:v>
                </c:pt>
                <c:pt idx="3">
                  <c:v>23</c:v>
                </c:pt>
                <c:pt idx="4">
                  <c:v>12</c:v>
                </c:pt>
                <c:pt idx="5">
                  <c:v>9</c:v>
                </c:pt>
                <c:pt idx="6">
                  <c:v>12</c:v>
                </c:pt>
                <c:pt idx="7">
                  <c:v>11</c:v>
                </c:pt>
                <c:pt idx="8">
                  <c:v>9</c:v>
                </c:pt>
              </c:numCache>
            </c:numRef>
          </c:val>
          <c:extLst>
            <c:ext xmlns:c16="http://schemas.microsoft.com/office/drawing/2014/chart" uri="{C3380CC4-5D6E-409C-BE32-E72D297353CC}">
              <c16:uniqueId val="{00000000-2FB3-496B-AFC2-7005F6F32AD7}"/>
            </c:ext>
          </c:extLst>
        </c:ser>
        <c:ser>
          <c:idx val="2"/>
          <c:order val="2"/>
          <c:tx>
            <c:strRef>
              <c:f>'Trend Analysis Report'!$D$64</c:f>
              <c:strCache>
                <c:ptCount val="1"/>
                <c:pt idx="0">
                  <c:v>Defect closed</c:v>
                </c:pt>
              </c:strCache>
            </c:strRef>
          </c:tx>
          <c:spPr>
            <a:solidFill>
              <a:schemeClr val="accent3"/>
            </a:solidFill>
            <a:ln>
              <a:noFill/>
            </a:ln>
            <a:effectLst/>
          </c:spPr>
          <c:invertIfNegative val="0"/>
          <c:cat>
            <c:multiLvlStrRef>
              <c:f>'Trend Analysis Report'!$E$60:$M$61</c:f>
              <c:multiLvlStrCache>
                <c:ptCount val="9"/>
                <c:lvl>
                  <c:pt idx="0">
                    <c:v>Week 1</c:v>
                  </c:pt>
                  <c:pt idx="1">
                    <c:v>Week 2</c:v>
                  </c:pt>
                  <c:pt idx="2">
                    <c:v>Week 3</c:v>
                  </c:pt>
                  <c:pt idx="3">
                    <c:v>Week 4</c:v>
                  </c:pt>
                  <c:pt idx="4">
                    <c:v>Week 5</c:v>
                  </c:pt>
                  <c:pt idx="5">
                    <c:v>Week 6</c:v>
                  </c:pt>
                  <c:pt idx="6">
                    <c:v>Week 7</c:v>
                  </c:pt>
                  <c:pt idx="7">
                    <c:v>Week 8</c:v>
                  </c:pt>
                  <c:pt idx="8">
                    <c:v>Week 9</c:v>
                  </c:pt>
                </c:lvl>
                <c:lvl/>
              </c:multiLvlStrCache>
            </c:multiLvlStrRef>
          </c:cat>
          <c:val>
            <c:numRef>
              <c:f>'Trend Analysis Report'!$E$64:$M$64</c:f>
              <c:numCache>
                <c:formatCode>General</c:formatCode>
                <c:ptCount val="9"/>
                <c:pt idx="0">
                  <c:v>0</c:v>
                </c:pt>
                <c:pt idx="1">
                  <c:v>3</c:v>
                </c:pt>
                <c:pt idx="2">
                  <c:v>6</c:v>
                </c:pt>
                <c:pt idx="3">
                  <c:v>17</c:v>
                </c:pt>
                <c:pt idx="4">
                  <c:v>10</c:v>
                </c:pt>
                <c:pt idx="5">
                  <c:v>8</c:v>
                </c:pt>
                <c:pt idx="6">
                  <c:v>11</c:v>
                </c:pt>
                <c:pt idx="7">
                  <c:v>3</c:v>
                </c:pt>
                <c:pt idx="8">
                  <c:v>15</c:v>
                </c:pt>
              </c:numCache>
            </c:numRef>
          </c:val>
          <c:extLst>
            <c:ext xmlns:c16="http://schemas.microsoft.com/office/drawing/2014/chart" uri="{C3380CC4-5D6E-409C-BE32-E72D297353CC}">
              <c16:uniqueId val="{00000001-2FB3-496B-AFC2-7005F6F32AD7}"/>
            </c:ext>
          </c:extLst>
        </c:ser>
        <c:ser>
          <c:idx val="4"/>
          <c:order val="4"/>
          <c:tx>
            <c:strRef>
              <c:f>'Trend Analysis Report'!$D$66</c:f>
              <c:strCache>
                <c:ptCount val="1"/>
                <c:pt idx="0">
                  <c:v>Defect Found cumulative</c:v>
                </c:pt>
              </c:strCache>
            </c:strRef>
          </c:tx>
          <c:spPr>
            <a:solidFill>
              <a:schemeClr val="accent5"/>
            </a:solidFill>
            <a:ln>
              <a:noFill/>
            </a:ln>
            <a:effectLst/>
          </c:spPr>
          <c:invertIfNegative val="0"/>
          <c:cat>
            <c:multiLvlStrRef>
              <c:f>'Trend Analysis Report'!$E$60:$M$61</c:f>
              <c:multiLvlStrCache>
                <c:ptCount val="9"/>
                <c:lvl>
                  <c:pt idx="0">
                    <c:v>Week 1</c:v>
                  </c:pt>
                  <c:pt idx="1">
                    <c:v>Week 2</c:v>
                  </c:pt>
                  <c:pt idx="2">
                    <c:v>Week 3</c:v>
                  </c:pt>
                  <c:pt idx="3">
                    <c:v>Week 4</c:v>
                  </c:pt>
                  <c:pt idx="4">
                    <c:v>Week 5</c:v>
                  </c:pt>
                  <c:pt idx="5">
                    <c:v>Week 6</c:v>
                  </c:pt>
                  <c:pt idx="6">
                    <c:v>Week 7</c:v>
                  </c:pt>
                  <c:pt idx="7">
                    <c:v>Week 8</c:v>
                  </c:pt>
                  <c:pt idx="8">
                    <c:v>Week 9</c:v>
                  </c:pt>
                </c:lvl>
                <c:lvl/>
              </c:multiLvlStrCache>
            </c:multiLvlStrRef>
          </c:cat>
          <c:val>
            <c:numRef>
              <c:f>'Trend Analysis Report'!$E$66:$M$66</c:f>
              <c:numCache>
                <c:formatCode>General</c:formatCode>
                <c:ptCount val="9"/>
                <c:pt idx="0">
                  <c:v>1</c:v>
                </c:pt>
                <c:pt idx="1">
                  <c:v>6</c:v>
                </c:pt>
                <c:pt idx="2">
                  <c:v>20</c:v>
                </c:pt>
                <c:pt idx="3">
                  <c:v>39</c:v>
                </c:pt>
                <c:pt idx="4">
                  <c:v>51</c:v>
                </c:pt>
                <c:pt idx="5">
                  <c:v>60</c:v>
                </c:pt>
                <c:pt idx="6">
                  <c:v>72</c:v>
                </c:pt>
                <c:pt idx="7">
                  <c:v>83</c:v>
                </c:pt>
                <c:pt idx="8">
                  <c:v>85</c:v>
                </c:pt>
              </c:numCache>
            </c:numRef>
          </c:val>
          <c:extLst>
            <c:ext xmlns:c16="http://schemas.microsoft.com/office/drawing/2014/chart" uri="{C3380CC4-5D6E-409C-BE32-E72D297353CC}">
              <c16:uniqueId val="{00000002-2FB3-496B-AFC2-7005F6F32AD7}"/>
            </c:ext>
          </c:extLst>
        </c:ser>
        <c:ser>
          <c:idx val="6"/>
          <c:order val="6"/>
          <c:tx>
            <c:strRef>
              <c:f>'Trend Analysis Report'!$D$68</c:f>
              <c:strCache>
                <c:ptCount val="1"/>
                <c:pt idx="0">
                  <c:v>Defect closed cumulative</c:v>
                </c:pt>
              </c:strCache>
            </c:strRef>
          </c:tx>
          <c:spPr>
            <a:solidFill>
              <a:schemeClr val="accent1">
                <a:lumMod val="60000"/>
              </a:schemeClr>
            </a:solidFill>
            <a:ln>
              <a:noFill/>
            </a:ln>
            <a:effectLst/>
          </c:spPr>
          <c:invertIfNegative val="0"/>
          <c:cat>
            <c:multiLvlStrRef>
              <c:f>'Trend Analysis Report'!$E$60:$M$61</c:f>
              <c:multiLvlStrCache>
                <c:ptCount val="9"/>
                <c:lvl>
                  <c:pt idx="0">
                    <c:v>Week 1</c:v>
                  </c:pt>
                  <c:pt idx="1">
                    <c:v>Week 2</c:v>
                  </c:pt>
                  <c:pt idx="2">
                    <c:v>Week 3</c:v>
                  </c:pt>
                  <c:pt idx="3">
                    <c:v>Week 4</c:v>
                  </c:pt>
                  <c:pt idx="4">
                    <c:v>Week 5</c:v>
                  </c:pt>
                  <c:pt idx="5">
                    <c:v>Week 6</c:v>
                  </c:pt>
                  <c:pt idx="6">
                    <c:v>Week 7</c:v>
                  </c:pt>
                  <c:pt idx="7">
                    <c:v>Week 8</c:v>
                  </c:pt>
                  <c:pt idx="8">
                    <c:v>Week 9</c:v>
                  </c:pt>
                </c:lvl>
                <c:lvl/>
              </c:multiLvlStrCache>
            </c:multiLvlStrRef>
          </c:cat>
          <c:val>
            <c:numRef>
              <c:f>'Trend Analysis Report'!$E$68:$M$68</c:f>
              <c:numCache>
                <c:formatCode>General</c:formatCode>
                <c:ptCount val="9"/>
                <c:pt idx="0">
                  <c:v>0</c:v>
                </c:pt>
                <c:pt idx="1">
                  <c:v>3</c:v>
                </c:pt>
                <c:pt idx="2">
                  <c:v>9</c:v>
                </c:pt>
                <c:pt idx="3">
                  <c:v>26</c:v>
                </c:pt>
                <c:pt idx="4">
                  <c:v>36</c:v>
                </c:pt>
                <c:pt idx="5">
                  <c:v>44</c:v>
                </c:pt>
                <c:pt idx="6">
                  <c:v>55</c:v>
                </c:pt>
                <c:pt idx="7">
                  <c:v>58</c:v>
                </c:pt>
                <c:pt idx="8">
                  <c:v>80</c:v>
                </c:pt>
              </c:numCache>
            </c:numRef>
          </c:val>
          <c:extLst>
            <c:ext xmlns:c16="http://schemas.microsoft.com/office/drawing/2014/chart" uri="{C3380CC4-5D6E-409C-BE32-E72D297353CC}">
              <c16:uniqueId val="{00000003-2FB3-496B-AFC2-7005F6F32AD7}"/>
            </c:ext>
          </c:extLst>
        </c:ser>
        <c:dLbls>
          <c:showLegendKey val="0"/>
          <c:showVal val="0"/>
          <c:showCatName val="0"/>
          <c:showSerName val="0"/>
          <c:showPercent val="0"/>
          <c:showBubbleSize val="0"/>
        </c:dLbls>
        <c:gapWidth val="219"/>
        <c:overlap val="-27"/>
        <c:axId val="1514496831"/>
        <c:axId val="1523075039"/>
        <c:extLst>
          <c:ext xmlns:c15="http://schemas.microsoft.com/office/drawing/2012/chart" uri="{02D57815-91ED-43cb-92C2-25804820EDAC}">
            <c15:filteredBarSeries>
              <c15:ser>
                <c:idx val="1"/>
                <c:order val="1"/>
                <c:tx>
                  <c:strRef>
                    <c:extLst>
                      <c:ext uri="{02D57815-91ED-43cb-92C2-25804820EDAC}">
                        <c15:formulaRef>
                          <c15:sqref>'Trend Analysis Report'!$D$63</c15:sqref>
                        </c15:formulaRef>
                      </c:ext>
                    </c:extLst>
                    <c:strCache>
                      <c:ptCount val="1"/>
                    </c:strCache>
                  </c:strRef>
                </c:tx>
                <c:spPr>
                  <a:solidFill>
                    <a:schemeClr val="accent2"/>
                  </a:solidFill>
                  <a:ln>
                    <a:noFill/>
                  </a:ln>
                  <a:effectLst/>
                </c:spPr>
                <c:invertIfNegative val="0"/>
                <c:cat>
                  <c:multiLvlStrRef>
                    <c:extLst>
                      <c:ext uri="{02D57815-91ED-43cb-92C2-25804820EDAC}">
                        <c15:formulaRef>
                          <c15:sqref>'Trend Analysis Report'!$E$60:$M$61</c15:sqref>
                        </c15:formulaRef>
                      </c:ext>
                    </c:extLst>
                    <c:multiLvlStrCache>
                      <c:ptCount val="9"/>
                      <c:lvl>
                        <c:pt idx="0">
                          <c:v>Week 1</c:v>
                        </c:pt>
                        <c:pt idx="1">
                          <c:v>Week 2</c:v>
                        </c:pt>
                        <c:pt idx="2">
                          <c:v>Week 3</c:v>
                        </c:pt>
                        <c:pt idx="3">
                          <c:v>Week 4</c:v>
                        </c:pt>
                        <c:pt idx="4">
                          <c:v>Week 5</c:v>
                        </c:pt>
                        <c:pt idx="5">
                          <c:v>Week 6</c:v>
                        </c:pt>
                        <c:pt idx="6">
                          <c:v>Week 7</c:v>
                        </c:pt>
                        <c:pt idx="7">
                          <c:v>Week 8</c:v>
                        </c:pt>
                        <c:pt idx="8">
                          <c:v>Week 9</c:v>
                        </c:pt>
                      </c:lvl>
                      <c:lvl/>
                    </c:multiLvlStrCache>
                  </c:multiLvlStrRef>
                </c:cat>
                <c:val>
                  <c:numRef>
                    <c:extLst>
                      <c:ext uri="{02D57815-91ED-43cb-92C2-25804820EDAC}">
                        <c15:formulaRef>
                          <c15:sqref>'Trend Analysis Report'!$E$63:$M$63</c15:sqref>
                        </c15:formulaRef>
                      </c:ext>
                    </c:extLst>
                    <c:numCache>
                      <c:formatCode>General</c:formatCode>
                      <c:ptCount val="9"/>
                    </c:numCache>
                  </c:numRef>
                </c:val>
                <c:extLst>
                  <c:ext xmlns:c16="http://schemas.microsoft.com/office/drawing/2014/chart" uri="{C3380CC4-5D6E-409C-BE32-E72D297353CC}">
                    <c16:uniqueId val="{00000004-2FB3-496B-AFC2-7005F6F32AD7}"/>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'Trend Analysis Report'!$D$65</c15:sqref>
                        </c15:formulaRef>
                      </c:ext>
                    </c:extLst>
                    <c:strCache>
                      <c:ptCount val="1"/>
                    </c:strCache>
                  </c:strRef>
                </c:tx>
                <c:spPr>
                  <a:solidFill>
                    <a:schemeClr val="accent4"/>
                  </a:solidFill>
                  <a:ln>
                    <a:noFill/>
                  </a:ln>
                  <a:effectLst/>
                </c:spPr>
                <c:invertIfNegative val="0"/>
                <c:cat>
                  <c:multiLvlStrRef>
                    <c:extLst>
                      <c:ext xmlns:c15="http://schemas.microsoft.com/office/drawing/2012/chart" uri="{02D57815-91ED-43cb-92C2-25804820EDAC}">
                        <c15:formulaRef>
                          <c15:sqref>'Trend Analysis Report'!$E$60:$M$61</c15:sqref>
                        </c15:formulaRef>
                      </c:ext>
                    </c:extLst>
                    <c:multiLvlStrCache>
                      <c:ptCount val="9"/>
                      <c:lvl>
                        <c:pt idx="0">
                          <c:v>Week 1</c:v>
                        </c:pt>
                        <c:pt idx="1">
                          <c:v>Week 2</c:v>
                        </c:pt>
                        <c:pt idx="2">
                          <c:v>Week 3</c:v>
                        </c:pt>
                        <c:pt idx="3">
                          <c:v>Week 4</c:v>
                        </c:pt>
                        <c:pt idx="4">
                          <c:v>Week 5</c:v>
                        </c:pt>
                        <c:pt idx="5">
                          <c:v>Week 6</c:v>
                        </c:pt>
                        <c:pt idx="6">
                          <c:v>Week 7</c:v>
                        </c:pt>
                        <c:pt idx="7">
                          <c:v>Week 8</c:v>
                        </c:pt>
                        <c:pt idx="8">
                          <c:v>Week 9</c:v>
                        </c:pt>
                      </c:lvl>
                      <c:lvl/>
                    </c:multiLvlStrCache>
                  </c:multiLvlStrRef>
                </c:cat>
                <c:val>
                  <c:numRef>
                    <c:extLst xmlns:c15="http://schemas.microsoft.com/office/drawing/2012/chart">
                      <c:ext xmlns:c15="http://schemas.microsoft.com/office/drawing/2012/chart" uri="{02D57815-91ED-43cb-92C2-25804820EDAC}">
                        <c15:formulaRef>
                          <c15:sqref>'Trend Analysis Report'!$E$65:$M$65</c15:sqref>
                        </c15:formulaRef>
                      </c:ext>
                    </c:extLst>
                    <c:numCache>
                      <c:formatCode>General</c:formatCode>
                      <c:ptCount val="9"/>
                    </c:numCache>
                  </c:numRef>
                </c:val>
                <c:extLst xmlns:c15="http://schemas.microsoft.com/office/drawing/2012/chart">
                  <c:ext xmlns:c16="http://schemas.microsoft.com/office/drawing/2014/chart" uri="{C3380CC4-5D6E-409C-BE32-E72D297353CC}">
                    <c16:uniqueId val="{00000005-2FB3-496B-AFC2-7005F6F32AD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'Trend Analysis Report'!$D$67</c15:sqref>
                        </c15:formulaRef>
                      </c:ext>
                    </c:extLst>
                    <c:strCache>
                      <c:ptCount val="1"/>
                    </c:strCache>
                  </c:strRef>
                </c:tx>
                <c:spPr>
                  <a:solidFill>
                    <a:schemeClr val="accent6"/>
                  </a:solidFill>
                  <a:ln>
                    <a:noFill/>
                  </a:ln>
                  <a:effectLst/>
                </c:spPr>
                <c:invertIfNegative val="0"/>
                <c:cat>
                  <c:multiLvlStrRef>
                    <c:extLst>
                      <c:ext xmlns:c15="http://schemas.microsoft.com/office/drawing/2012/chart" uri="{02D57815-91ED-43cb-92C2-25804820EDAC}">
                        <c15:formulaRef>
                          <c15:sqref>'Trend Analysis Report'!$E$60:$M$61</c15:sqref>
                        </c15:formulaRef>
                      </c:ext>
                    </c:extLst>
                    <c:multiLvlStrCache>
                      <c:ptCount val="9"/>
                      <c:lvl>
                        <c:pt idx="0">
                          <c:v>Week 1</c:v>
                        </c:pt>
                        <c:pt idx="1">
                          <c:v>Week 2</c:v>
                        </c:pt>
                        <c:pt idx="2">
                          <c:v>Week 3</c:v>
                        </c:pt>
                        <c:pt idx="3">
                          <c:v>Week 4</c:v>
                        </c:pt>
                        <c:pt idx="4">
                          <c:v>Week 5</c:v>
                        </c:pt>
                        <c:pt idx="5">
                          <c:v>Week 6</c:v>
                        </c:pt>
                        <c:pt idx="6">
                          <c:v>Week 7</c:v>
                        </c:pt>
                        <c:pt idx="7">
                          <c:v>Week 8</c:v>
                        </c:pt>
                        <c:pt idx="8">
                          <c:v>Week 9</c:v>
                        </c:pt>
                      </c:lvl>
                      <c:lvl/>
                    </c:multiLvlStrCache>
                  </c:multiLvlStrRef>
                </c:cat>
                <c:val>
                  <c:numRef>
                    <c:extLst xmlns:c15="http://schemas.microsoft.com/office/drawing/2012/chart">
                      <c:ext xmlns:c15="http://schemas.microsoft.com/office/drawing/2012/chart" uri="{02D57815-91ED-43cb-92C2-25804820EDAC}">
                        <c15:formulaRef>
                          <c15:sqref>'Trend Analysis Report'!$E$67:$M$67</c15:sqref>
                        </c15:formulaRef>
                      </c:ext>
                    </c:extLst>
                    <c:numCache>
                      <c:formatCode>General</c:formatCode>
                      <c:ptCount val="9"/>
                    </c:numCache>
                  </c:numRef>
                </c:val>
                <c:extLst xmlns:c15="http://schemas.microsoft.com/office/drawing/2012/chart">
                  <c:ext xmlns:c16="http://schemas.microsoft.com/office/drawing/2014/chart" uri="{C3380CC4-5D6E-409C-BE32-E72D297353CC}">
                    <c16:uniqueId val="{00000006-2FB3-496B-AFC2-7005F6F32AD7}"/>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'Trend Analysis Report'!$D$69</c15:sqref>
                        </c15:formulaRef>
                      </c:ext>
                    </c:extLst>
                    <c:strCache>
                      <c:ptCount val="1"/>
                    </c:strCache>
                  </c:strRef>
                </c:tx>
                <c:spPr>
                  <a:solidFill>
                    <a:schemeClr val="accent2">
                      <a:lumMod val="60000"/>
                    </a:schemeClr>
                  </a:solidFill>
                  <a:ln>
                    <a:noFill/>
                  </a:ln>
                  <a:effectLst/>
                </c:spPr>
                <c:invertIfNegative val="0"/>
                <c:cat>
                  <c:multiLvlStrRef>
                    <c:extLst>
                      <c:ext xmlns:c15="http://schemas.microsoft.com/office/drawing/2012/chart" uri="{02D57815-91ED-43cb-92C2-25804820EDAC}">
                        <c15:formulaRef>
                          <c15:sqref>'Trend Analysis Report'!$E$60:$M$61</c15:sqref>
                        </c15:formulaRef>
                      </c:ext>
                    </c:extLst>
                    <c:multiLvlStrCache>
                      <c:ptCount val="9"/>
                      <c:lvl>
                        <c:pt idx="0">
                          <c:v>Week 1</c:v>
                        </c:pt>
                        <c:pt idx="1">
                          <c:v>Week 2</c:v>
                        </c:pt>
                        <c:pt idx="2">
                          <c:v>Week 3</c:v>
                        </c:pt>
                        <c:pt idx="3">
                          <c:v>Week 4</c:v>
                        </c:pt>
                        <c:pt idx="4">
                          <c:v>Week 5</c:v>
                        </c:pt>
                        <c:pt idx="5">
                          <c:v>Week 6</c:v>
                        </c:pt>
                        <c:pt idx="6">
                          <c:v>Week 7</c:v>
                        </c:pt>
                        <c:pt idx="7">
                          <c:v>Week 8</c:v>
                        </c:pt>
                        <c:pt idx="8">
                          <c:v>Week 9</c:v>
                        </c:pt>
                      </c:lvl>
                      <c:lvl/>
                    </c:multiLvlStrCache>
                  </c:multiLvlStrRef>
                </c:cat>
                <c:val>
                  <c:numRef>
                    <c:extLst xmlns:c15="http://schemas.microsoft.com/office/drawing/2012/chart">
                      <c:ext xmlns:c15="http://schemas.microsoft.com/office/drawing/2012/chart" uri="{02D57815-91ED-43cb-92C2-25804820EDAC}">
                        <c15:formulaRef>
                          <c15:sqref>'Trend Analysis Report'!$E$69:$M$69</c15:sqref>
                        </c15:formulaRef>
                      </c:ext>
                    </c:extLst>
                    <c:numCache>
                      <c:formatCode>General</c:formatCode>
                      <c:ptCount val="9"/>
                    </c:numCache>
                  </c:numRef>
                </c:val>
                <c:extLst xmlns:c15="http://schemas.microsoft.com/office/drawing/2012/chart">
                  <c:ext xmlns:c16="http://schemas.microsoft.com/office/drawing/2014/chart" uri="{C3380CC4-5D6E-409C-BE32-E72D297353CC}">
                    <c16:uniqueId val="{00000007-2FB3-496B-AFC2-7005F6F32AD7}"/>
                  </c:ext>
                </c:extLst>
              </c15:ser>
            </c15:filteredBarSeries>
          </c:ext>
        </c:extLst>
      </c:barChart>
      <c:catAx>
        <c:axId val="1514496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075039"/>
        <c:crosses val="autoZero"/>
        <c:auto val="1"/>
        <c:lblAlgn val="ctr"/>
        <c:lblOffset val="100"/>
        <c:noMultiLvlLbl val="0"/>
      </c:catAx>
      <c:valAx>
        <c:axId val="1523075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4968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oneCellAnchor>
    <xdr:from>
      <xdr:col>5</xdr:col>
      <xdr:colOff>107950</xdr:colOff>
      <xdr:row>0</xdr:row>
      <xdr:rowOff>38100</xdr:rowOff>
    </xdr:from>
    <xdr:ext cx="0" cy="1140815"/>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5100" y="38100"/>
          <a:ext cx="0" cy="11408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93918</xdr:colOff>
      <xdr:row>0</xdr:row>
      <xdr:rowOff>150237</xdr:rowOff>
    </xdr:from>
    <xdr:to>
      <xdr:col>0</xdr:col>
      <xdr:colOff>702243</xdr:colOff>
      <xdr:row>0</xdr:row>
      <xdr:rowOff>614930</xdr:rowOff>
    </xdr:to>
    <xdr:pic>
      <xdr:nvPicPr>
        <xdr:cNvPr id="4" name="Picture 3">
          <a:extLst>
            <a:ext uri="{FF2B5EF4-FFF2-40B4-BE49-F238E27FC236}">
              <a16:creationId xmlns:a16="http://schemas.microsoft.com/office/drawing/2014/main" id="{DCDC04E3-A95C-4AFB-A36D-F4B0DB74B23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3918" y="150237"/>
          <a:ext cx="608325" cy="4646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11431</xdr:colOff>
      <xdr:row>14</xdr:row>
      <xdr:rowOff>167640</xdr:rowOff>
    </xdr:from>
    <xdr:to>
      <xdr:col>9</xdr:col>
      <xdr:colOff>1021080</xdr:colOff>
      <xdr:row>29</xdr:row>
      <xdr:rowOff>47625</xdr:rowOff>
    </xdr:to>
    <xdr:graphicFrame macro="">
      <xdr:nvGraphicFramePr>
        <xdr:cNvPr id="6" name="Chart 5">
          <a:extLst>
            <a:ext uri="{FF2B5EF4-FFF2-40B4-BE49-F238E27FC236}">
              <a16:creationId xmlns:a16="http://schemas.microsoft.com/office/drawing/2014/main" id="{733B2658-6BFE-4D6E-9661-DBD224BC71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1954530</xdr:colOff>
      <xdr:row>42</xdr:row>
      <xdr:rowOff>190500</xdr:rowOff>
    </xdr:from>
    <xdr:to>
      <xdr:col>9</xdr:col>
      <xdr:colOff>971550</xdr:colOff>
      <xdr:row>56</xdr:row>
      <xdr:rowOff>116205</xdr:rowOff>
    </xdr:to>
    <xdr:graphicFrame macro="">
      <xdr:nvGraphicFramePr>
        <xdr:cNvPr id="7" name="Chart 6">
          <a:extLst>
            <a:ext uri="{FF2B5EF4-FFF2-40B4-BE49-F238E27FC236}">
              <a16:creationId xmlns:a16="http://schemas.microsoft.com/office/drawing/2014/main" id="{B7D848EF-908E-4967-9471-DF924F922B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1950720</xdr:colOff>
      <xdr:row>69</xdr:row>
      <xdr:rowOff>180975</xdr:rowOff>
    </xdr:from>
    <xdr:to>
      <xdr:col>9</xdr:col>
      <xdr:colOff>971550</xdr:colOff>
      <xdr:row>83</xdr:row>
      <xdr:rowOff>133350</xdr:rowOff>
    </xdr:to>
    <xdr:graphicFrame macro="">
      <xdr:nvGraphicFramePr>
        <xdr:cNvPr id="8" name="Chart 7">
          <a:extLst>
            <a:ext uri="{FF2B5EF4-FFF2-40B4-BE49-F238E27FC236}">
              <a16:creationId xmlns:a16="http://schemas.microsoft.com/office/drawing/2014/main" id="{638FF5F8-C6BA-4B0B-80D3-245D7B098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veroltengineering-my.sharepoint.com/personal/ashwin_deshpande_verolt_com/Documents/ASPICE_Doc/Processdefinition/Process_Reviews/MAN.3_Project%20Management/02_ProjectManagement_Templates/VER_TrainingPlan_ProjectName.xlsm" TargetMode="External"/><Relationship Id="rId2" Type="http://schemas.microsoft.com/office/2019/04/relationships/externalLinkLongPath" Target="/27343a619581ce28/Documents/ZooKoo/00-ZooKoo/01_Customers/024_Verolt/Consulting/Process%20Asset%20Review/26th%20Oct/02_ProjectManagement_Templates_V2/VER_TrainingPlan_ProjectName.xlsm?F1A58C80" TargetMode="External"/><Relationship Id="rId1" Type="http://schemas.openxmlformats.org/officeDocument/2006/relationships/externalLinkPath" Target="file:///\\F1A58C80\VER_TrainingPlan_ProjectNam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nkur%20@%20Office/Documents/Zookoo/Customers/Consulting/Verolt/VER_WorkBreakdownStructure_ProjectNa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Front Page"/>
      <sheetName val="Document Change History"/>
      <sheetName val="Introduction"/>
      <sheetName val="Training Plan"/>
      <sheetName val="KPIT_Metrics"/>
      <sheetName val="Skills_Competency_Desired"/>
      <sheetName val="VER_TrainingPlan_ProjectName"/>
    </sheetNames>
    <sheetDataSet>
      <sheetData sheetId="0"/>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Change History"/>
      <sheetName val="General"/>
      <sheetName val="WBS_&lt;ProjectName&gt;"/>
      <sheetName val="Template Change History"/>
      <sheetName val="KPIT_Metrics"/>
      <sheetName val="Skills_Competency_Desired"/>
      <sheetName val="VER_WorkBreakdownStructure_Proj"/>
    </sheetNames>
    <sheetDataSet>
      <sheetData sheetId="0"/>
      <sheetData sheetId="1"/>
      <sheetData sheetId="2"/>
      <sheetData sheetId="3"/>
      <sheetData sheetId="4"/>
      <sheetData sheetId="5"/>
      <sheetData sheetId="6"/>
      <sheetData sheetId="7" refreshError="1"/>
    </sheetDataSet>
  </externalBook>
</externalLink>
</file>

<file path=xl/persons/person.xml><?xml version="1.0" encoding="utf-8"?>
<personList xmlns="http://schemas.microsoft.com/office/spreadsheetml/2018/threadedcomments" xmlns:x="http://schemas.openxmlformats.org/spreadsheetml/2006/main">
  <person displayName="Meghna Chahar" id="{70D2A2EB-C843-4A64-A1A4-BC5B0AEACAB9}" userId="27343a619581ce28" providerId="Windows Live"/>
  <person displayName="Bhavish Khashu" id="{71420618-0013-41E2-8F3E-C6DCEBF3B04E}" userId="S::bhavish.khashu@verolt.com::3a0e25ec-419a-47a3-9e40-57070ac8a12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2:D5" totalsRowShown="0" headerRowDxfId="22" dataDxfId="21" headerRowCellStyle="Normal 2" dataCellStyle="Normal 2">
  <autoFilter ref="D2:D5" xr:uid="{00000000-0009-0000-0100-000002000000}"/>
  <tableColumns count="1">
    <tableColumn id="1" xr3:uid="{00000000-0010-0000-0200-000001000000}" name="Category" dataDxfId="2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L2:U105" totalsRowShown="0" headerRowDxfId="19" dataDxfId="18" tableBorderDxfId="17" headerRowCellStyle="Normal 2" dataCellStyle="Normal 2">
  <autoFilter ref="L2:U105" xr:uid="{00000000-0009-0000-0100-000004000000}"/>
  <sortState xmlns:xlrd2="http://schemas.microsoft.com/office/spreadsheetml/2017/richdata2" ref="L3:U105">
    <sortCondition ref="L3:L105"/>
    <sortCondition ref="M3:M105"/>
    <sortCondition ref="N3:N105"/>
  </sortState>
  <tableColumns count="10">
    <tableColumn id="1" xr3:uid="{00000000-0010-0000-0300-000001000000}" name="Category" dataDxfId="16" dataCellStyle="Normal 2"/>
    <tableColumn id="2" xr3:uid="{00000000-0010-0000-0300-000002000000}" name="KPI" dataDxfId="15" dataCellStyle="Normal 2"/>
    <tableColumn id="3" xr3:uid="{00000000-0010-0000-0300-000003000000}" name="Metric" dataDxfId="14" dataCellStyle="Normal 2"/>
    <tableColumn id="4" xr3:uid="{00000000-0010-0000-0300-000004000000}" name="Formula" dataDxfId="13" dataCellStyle="Normal 2"/>
    <tableColumn id="5" xr3:uid="{00000000-0010-0000-0300-000005000000}" name="Application Type" dataDxfId="12" dataCellStyle="Normal 2"/>
    <tableColumn id="6" xr3:uid="{00000000-0010-0000-0300-000006000000}" name="Measurable Entity" dataDxfId="11" dataCellStyle="Normal 2"/>
    <tableColumn id="7" xr3:uid="{00000000-0010-0000-0300-000007000000}" name="UOM" dataDxfId="10" dataCellStyle="Normal 2"/>
    <tableColumn id="8" xr3:uid="{00000000-0010-0000-0300-000008000000}" name="Data Type" dataDxfId="9" dataCellStyle="Normal 2"/>
    <tableColumn id="9" xr3:uid="{00000000-0010-0000-0300-000009000000}" name="Metric Classification" dataDxfId="8" dataCellStyle="Normal 2"/>
    <tableColumn id="10" xr3:uid="{00000000-0010-0000-0300-00000A000000}" name="Example" dataDxfId="7" dataCellStyle="Normal 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B2:C24" totalsRowShown="0" headerRowDxfId="6" dataDxfId="5" headerRowBorderDxfId="3" tableBorderDxfId="4" totalsRowBorderDxfId="2" headerRowCellStyle="Normal 2">
  <autoFilter ref="B2:C24" xr:uid="{00000000-0009-0000-0100-000005000000}"/>
  <tableColumns count="2">
    <tableColumn id="1" xr3:uid="{00000000-0010-0000-0400-000001000000}" name="Roles" dataDxfId="1" dataCellStyle="Normal 2"/>
    <tableColumn id="2" xr3:uid="{00000000-0010-0000-0400-000002000000}" name="Grades" dataDxfId="0" dataCellStyle="Normal 2"/>
  </tableColumns>
  <tableStyleInfo name="TableStyleMedium2" showFirstColumn="0" showLastColumn="0" showRowStripes="1" showColumnStripes="0"/>
</table>
</file>

<file path=xl/theme/theme1.xml><?xml version="1.0" encoding="utf-8"?>
<a:theme xmlns:a="http://schemas.openxmlformats.org/drawingml/2006/main" name="Theme2">
  <a:themeElements>
    <a:clrScheme name="Custom 2">
      <a:dk1>
        <a:srgbClr val="161718"/>
      </a:dk1>
      <a:lt1>
        <a:srgbClr val="FFFFFF"/>
      </a:lt1>
      <a:dk2>
        <a:srgbClr val="4D5154"/>
      </a:dk2>
      <a:lt2>
        <a:srgbClr val="E6E7E8"/>
      </a:lt2>
      <a:accent1>
        <a:srgbClr val="B0FF45"/>
      </a:accent1>
      <a:accent2>
        <a:srgbClr val="8FDB00"/>
      </a:accent2>
      <a:accent3>
        <a:srgbClr val="428003"/>
      </a:accent3>
      <a:accent4>
        <a:srgbClr val="753DFF"/>
      </a:accent4>
      <a:accent5>
        <a:srgbClr val="622AD8"/>
      </a:accent5>
      <a:accent6>
        <a:srgbClr val="7F7F7F"/>
      </a:accent6>
      <a:hlink>
        <a:srgbClr val="753DFF"/>
      </a:hlink>
      <a:folHlink>
        <a:srgbClr val="A5A5A5"/>
      </a:folHlink>
    </a:clrScheme>
    <a:fontScheme name="KPIT Fonts">
      <a:majorFont>
        <a:latin typeface="Work Sans"/>
        <a:ea typeface=""/>
        <a:cs typeface=""/>
      </a:majorFont>
      <a:minorFont>
        <a:latin typeface="Work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31" dT="2023-11-28T23:48:20.81" personId="{70D2A2EB-C843-4A64-A1A4-BC5B0AEACAB9}" id="{3DD13F7E-5EC4-4052-9BC4-A3C5A86CCF32}">
    <text>Give some examples</text>
  </threadedComment>
  <threadedComment ref="C31" dT="2023-12-07T10:06:00.62" personId="{71420618-0013-41E2-8F3E-C6DCEBF3B04E}" id="{8B9D1AE2-7ECE-4856-9A76-EC9F20B1F5A5}" parentId="{3DD13F7E-5EC4-4052-9BC4-A3C5A86CCF32}">
    <text>Done</text>
  </threadedComment>
</ThreadedComments>
</file>

<file path=xl/threadedComments/threadedComment2.xml><?xml version="1.0" encoding="utf-8"?>
<ThreadedComments xmlns="http://schemas.microsoft.com/office/spreadsheetml/2018/threadedcomments" xmlns:x="http://schemas.openxmlformats.org/spreadsheetml/2006/main">
  <threadedComment ref="D90" dT="2024-02-02T13:35:10.24" personId="{70D2A2EB-C843-4A64-A1A4-BC5B0AEACAB9}" id="{8CEBC91D-033D-CA41-9D91-3EBDCE7A44A7}">
    <text>Also check if you can come up with some trend analysis for how many urgent cases, customer problems</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https://kquest.kpit.com/kquest/projects/katapult/knowledgebase/articles/2082" TargetMode="External"/><Relationship Id="rId5" Type="http://schemas.openxmlformats.org/officeDocument/2006/relationships/table" Target="../tables/table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DE4A8-000E-4BB5-95B1-B22129D76578}">
  <dimension ref="A1:WVN38"/>
  <sheetViews>
    <sheetView topLeftCell="A8" zoomScale="45" zoomScaleNormal="70" workbookViewId="0">
      <selection activeCell="A16" sqref="A16:F16"/>
    </sheetView>
  </sheetViews>
  <sheetFormatPr defaultColWidth="0" defaultRowHeight="0" customHeight="1" zeroHeight="1"/>
  <cols>
    <col min="1" max="1" width="9.5546875" style="92" customWidth="1"/>
    <col min="2" max="2" width="14.6640625" style="92" customWidth="1"/>
    <col min="3" max="4" width="30.5546875" style="92" customWidth="1"/>
    <col min="5" max="5" width="28.6640625" style="92" customWidth="1"/>
    <col min="6" max="6" width="23" style="92" customWidth="1"/>
    <col min="7" max="7" width="0.109375" style="92" customWidth="1"/>
    <col min="8" max="257" width="8.44140625" style="92" hidden="1"/>
    <col min="258" max="258" width="9.5546875" style="92" hidden="1"/>
    <col min="259" max="259" width="14.6640625" style="92" hidden="1"/>
    <col min="260" max="260" width="21.109375" style="92" hidden="1"/>
    <col min="261" max="261" width="25.6640625" style="92" hidden="1"/>
    <col min="262" max="262" width="23" style="92" hidden="1"/>
    <col min="263" max="513" width="8.44140625" style="92" hidden="1"/>
    <col min="514" max="514" width="9.5546875" style="92" hidden="1"/>
    <col min="515" max="515" width="14.6640625" style="92" hidden="1"/>
    <col min="516" max="516" width="21.109375" style="92" hidden="1"/>
    <col min="517" max="517" width="25.6640625" style="92" hidden="1"/>
    <col min="518" max="518" width="23" style="92" hidden="1"/>
    <col min="519" max="769" width="8.44140625" style="92" hidden="1"/>
    <col min="770" max="770" width="9.5546875" style="92" hidden="1"/>
    <col min="771" max="771" width="14.6640625" style="92" hidden="1"/>
    <col min="772" max="772" width="21.109375" style="92" hidden="1"/>
    <col min="773" max="773" width="25.6640625" style="92" hidden="1"/>
    <col min="774" max="774" width="23" style="92" hidden="1"/>
    <col min="775" max="1025" width="8.44140625" style="92" hidden="1"/>
    <col min="1026" max="1026" width="9.5546875" style="92" hidden="1"/>
    <col min="1027" max="1027" width="14.6640625" style="92" hidden="1"/>
    <col min="1028" max="1028" width="21.109375" style="92" hidden="1"/>
    <col min="1029" max="1029" width="25.6640625" style="92" hidden="1"/>
    <col min="1030" max="1030" width="23" style="92" hidden="1"/>
    <col min="1031" max="1281" width="8.44140625" style="92" hidden="1"/>
    <col min="1282" max="1282" width="9.5546875" style="92" hidden="1"/>
    <col min="1283" max="1283" width="14.6640625" style="92" hidden="1"/>
    <col min="1284" max="1284" width="21.109375" style="92" hidden="1"/>
    <col min="1285" max="1285" width="25.6640625" style="92" hidden="1"/>
    <col min="1286" max="1286" width="23" style="92" hidden="1"/>
    <col min="1287" max="1537" width="8.44140625" style="92" hidden="1"/>
    <col min="1538" max="1538" width="9.5546875" style="92" hidden="1"/>
    <col min="1539" max="1539" width="14.6640625" style="92" hidden="1"/>
    <col min="1540" max="1540" width="21.109375" style="92" hidden="1"/>
    <col min="1541" max="1541" width="25.6640625" style="92" hidden="1"/>
    <col min="1542" max="1542" width="23" style="92" hidden="1"/>
    <col min="1543" max="1793" width="8.44140625" style="92" hidden="1"/>
    <col min="1794" max="1794" width="9.5546875" style="92" hidden="1"/>
    <col min="1795" max="1795" width="14.6640625" style="92" hidden="1"/>
    <col min="1796" max="1796" width="21.109375" style="92" hidden="1"/>
    <col min="1797" max="1797" width="25.6640625" style="92" hidden="1"/>
    <col min="1798" max="1798" width="23" style="92" hidden="1"/>
    <col min="1799" max="2049" width="8.44140625" style="92" hidden="1"/>
    <col min="2050" max="2050" width="9.5546875" style="92" hidden="1"/>
    <col min="2051" max="2051" width="14.6640625" style="92" hidden="1"/>
    <col min="2052" max="2052" width="21.109375" style="92" hidden="1"/>
    <col min="2053" max="2053" width="25.6640625" style="92" hidden="1"/>
    <col min="2054" max="2054" width="23" style="92" hidden="1"/>
    <col min="2055" max="2305" width="8.44140625" style="92" hidden="1"/>
    <col min="2306" max="2306" width="9.5546875" style="92" hidden="1"/>
    <col min="2307" max="2307" width="14.6640625" style="92" hidden="1"/>
    <col min="2308" max="2308" width="21.109375" style="92" hidden="1"/>
    <col min="2309" max="2309" width="25.6640625" style="92" hidden="1"/>
    <col min="2310" max="2310" width="23" style="92" hidden="1"/>
    <col min="2311" max="2561" width="8.44140625" style="92" hidden="1"/>
    <col min="2562" max="2562" width="9.5546875" style="92" hidden="1"/>
    <col min="2563" max="2563" width="14.6640625" style="92" hidden="1"/>
    <col min="2564" max="2564" width="21.109375" style="92" hidden="1"/>
    <col min="2565" max="2565" width="25.6640625" style="92" hidden="1"/>
    <col min="2566" max="2566" width="23" style="92" hidden="1"/>
    <col min="2567" max="2817" width="8.44140625" style="92" hidden="1"/>
    <col min="2818" max="2818" width="9.5546875" style="92" hidden="1"/>
    <col min="2819" max="2819" width="14.6640625" style="92" hidden="1"/>
    <col min="2820" max="2820" width="21.109375" style="92" hidden="1"/>
    <col min="2821" max="2821" width="25.6640625" style="92" hidden="1"/>
    <col min="2822" max="2822" width="23" style="92" hidden="1"/>
    <col min="2823" max="3073" width="8.44140625" style="92" hidden="1"/>
    <col min="3074" max="3074" width="9.5546875" style="92" hidden="1"/>
    <col min="3075" max="3075" width="14.6640625" style="92" hidden="1"/>
    <col min="3076" max="3076" width="21.109375" style="92" hidden="1"/>
    <col min="3077" max="3077" width="25.6640625" style="92" hidden="1"/>
    <col min="3078" max="3078" width="23" style="92" hidden="1"/>
    <col min="3079" max="3329" width="8.44140625" style="92" hidden="1"/>
    <col min="3330" max="3330" width="9.5546875" style="92" hidden="1"/>
    <col min="3331" max="3331" width="14.6640625" style="92" hidden="1"/>
    <col min="3332" max="3332" width="21.109375" style="92" hidden="1"/>
    <col min="3333" max="3333" width="25.6640625" style="92" hidden="1"/>
    <col min="3334" max="3334" width="23" style="92" hidden="1"/>
    <col min="3335" max="3585" width="8.44140625" style="92" hidden="1"/>
    <col min="3586" max="3586" width="9.5546875" style="92" hidden="1"/>
    <col min="3587" max="3587" width="14.6640625" style="92" hidden="1"/>
    <col min="3588" max="3588" width="21.109375" style="92" hidden="1"/>
    <col min="3589" max="3589" width="25.6640625" style="92" hidden="1"/>
    <col min="3590" max="3590" width="23" style="92" hidden="1"/>
    <col min="3591" max="3841" width="8.44140625" style="92" hidden="1"/>
    <col min="3842" max="3842" width="9.5546875" style="92" hidden="1"/>
    <col min="3843" max="3843" width="14.6640625" style="92" hidden="1"/>
    <col min="3844" max="3844" width="21.109375" style="92" hidden="1"/>
    <col min="3845" max="3845" width="25.6640625" style="92" hidden="1"/>
    <col min="3846" max="3846" width="23" style="92" hidden="1"/>
    <col min="3847" max="4097" width="8.44140625" style="92" hidden="1"/>
    <col min="4098" max="4098" width="9.5546875" style="92" hidden="1"/>
    <col min="4099" max="4099" width="14.6640625" style="92" hidden="1"/>
    <col min="4100" max="4100" width="21.109375" style="92" hidden="1"/>
    <col min="4101" max="4101" width="25.6640625" style="92" hidden="1"/>
    <col min="4102" max="4102" width="23" style="92" hidden="1"/>
    <col min="4103" max="4353" width="8.44140625" style="92" hidden="1"/>
    <col min="4354" max="4354" width="9.5546875" style="92" hidden="1"/>
    <col min="4355" max="4355" width="14.6640625" style="92" hidden="1"/>
    <col min="4356" max="4356" width="21.109375" style="92" hidden="1"/>
    <col min="4357" max="4357" width="25.6640625" style="92" hidden="1"/>
    <col min="4358" max="4358" width="23" style="92" hidden="1"/>
    <col min="4359" max="4609" width="8.44140625" style="92" hidden="1"/>
    <col min="4610" max="4610" width="9.5546875" style="92" hidden="1"/>
    <col min="4611" max="4611" width="14.6640625" style="92" hidden="1"/>
    <col min="4612" max="4612" width="21.109375" style="92" hidden="1"/>
    <col min="4613" max="4613" width="25.6640625" style="92" hidden="1"/>
    <col min="4614" max="4614" width="23" style="92" hidden="1"/>
    <col min="4615" max="4865" width="8.44140625" style="92" hidden="1"/>
    <col min="4866" max="4866" width="9.5546875" style="92" hidden="1"/>
    <col min="4867" max="4867" width="14.6640625" style="92" hidden="1"/>
    <col min="4868" max="4868" width="21.109375" style="92" hidden="1"/>
    <col min="4869" max="4869" width="25.6640625" style="92" hidden="1"/>
    <col min="4870" max="4870" width="23" style="92" hidden="1"/>
    <col min="4871" max="5121" width="8.44140625" style="92" hidden="1"/>
    <col min="5122" max="5122" width="9.5546875" style="92" hidden="1"/>
    <col min="5123" max="5123" width="14.6640625" style="92" hidden="1"/>
    <col min="5124" max="5124" width="21.109375" style="92" hidden="1"/>
    <col min="5125" max="5125" width="25.6640625" style="92" hidden="1"/>
    <col min="5126" max="5126" width="23" style="92" hidden="1"/>
    <col min="5127" max="5377" width="8.44140625" style="92" hidden="1"/>
    <col min="5378" max="5378" width="9.5546875" style="92" hidden="1"/>
    <col min="5379" max="5379" width="14.6640625" style="92" hidden="1"/>
    <col min="5380" max="5380" width="21.109375" style="92" hidden="1"/>
    <col min="5381" max="5381" width="25.6640625" style="92" hidden="1"/>
    <col min="5382" max="5382" width="23" style="92" hidden="1"/>
    <col min="5383" max="5633" width="8.44140625" style="92" hidden="1"/>
    <col min="5634" max="5634" width="9.5546875" style="92" hidden="1"/>
    <col min="5635" max="5635" width="14.6640625" style="92" hidden="1"/>
    <col min="5636" max="5636" width="21.109375" style="92" hidden="1"/>
    <col min="5637" max="5637" width="25.6640625" style="92" hidden="1"/>
    <col min="5638" max="5638" width="23" style="92" hidden="1"/>
    <col min="5639" max="5889" width="8.44140625" style="92" hidden="1"/>
    <col min="5890" max="5890" width="9.5546875" style="92" hidden="1"/>
    <col min="5891" max="5891" width="14.6640625" style="92" hidden="1"/>
    <col min="5892" max="5892" width="21.109375" style="92" hidden="1"/>
    <col min="5893" max="5893" width="25.6640625" style="92" hidden="1"/>
    <col min="5894" max="5894" width="23" style="92" hidden="1"/>
    <col min="5895" max="6145" width="8.44140625" style="92" hidden="1"/>
    <col min="6146" max="6146" width="9.5546875" style="92" hidden="1"/>
    <col min="6147" max="6147" width="14.6640625" style="92" hidden="1"/>
    <col min="6148" max="6148" width="21.109375" style="92" hidden="1"/>
    <col min="6149" max="6149" width="25.6640625" style="92" hidden="1"/>
    <col min="6150" max="6150" width="23" style="92" hidden="1"/>
    <col min="6151" max="6401" width="8.44140625" style="92" hidden="1"/>
    <col min="6402" max="6402" width="9.5546875" style="92" hidden="1"/>
    <col min="6403" max="6403" width="14.6640625" style="92" hidden="1"/>
    <col min="6404" max="6404" width="21.109375" style="92" hidden="1"/>
    <col min="6405" max="6405" width="25.6640625" style="92" hidden="1"/>
    <col min="6406" max="6406" width="23" style="92" hidden="1"/>
    <col min="6407" max="6657" width="8.44140625" style="92" hidden="1"/>
    <col min="6658" max="6658" width="9.5546875" style="92" hidden="1"/>
    <col min="6659" max="6659" width="14.6640625" style="92" hidden="1"/>
    <col min="6660" max="6660" width="21.109375" style="92" hidden="1"/>
    <col min="6661" max="6661" width="25.6640625" style="92" hidden="1"/>
    <col min="6662" max="6662" width="23" style="92" hidden="1"/>
    <col min="6663" max="6913" width="8.44140625" style="92" hidden="1"/>
    <col min="6914" max="6914" width="9.5546875" style="92" hidden="1"/>
    <col min="6915" max="6915" width="14.6640625" style="92" hidden="1"/>
    <col min="6916" max="6916" width="21.109375" style="92" hidden="1"/>
    <col min="6917" max="6917" width="25.6640625" style="92" hidden="1"/>
    <col min="6918" max="6918" width="23" style="92" hidden="1"/>
    <col min="6919" max="7169" width="8.44140625" style="92" hidden="1"/>
    <col min="7170" max="7170" width="9.5546875" style="92" hidden="1"/>
    <col min="7171" max="7171" width="14.6640625" style="92" hidden="1"/>
    <col min="7172" max="7172" width="21.109375" style="92" hidden="1"/>
    <col min="7173" max="7173" width="25.6640625" style="92" hidden="1"/>
    <col min="7174" max="7174" width="23" style="92" hidden="1"/>
    <col min="7175" max="7425" width="8.44140625" style="92" hidden="1"/>
    <col min="7426" max="7426" width="9.5546875" style="92" hidden="1"/>
    <col min="7427" max="7427" width="14.6640625" style="92" hidden="1"/>
    <col min="7428" max="7428" width="21.109375" style="92" hidden="1"/>
    <col min="7429" max="7429" width="25.6640625" style="92" hidden="1"/>
    <col min="7430" max="7430" width="23" style="92" hidden="1"/>
    <col min="7431" max="7681" width="8.44140625" style="92" hidden="1"/>
    <col min="7682" max="7682" width="9.5546875" style="92" hidden="1"/>
    <col min="7683" max="7683" width="14.6640625" style="92" hidden="1"/>
    <col min="7684" max="7684" width="21.109375" style="92" hidden="1"/>
    <col min="7685" max="7685" width="25.6640625" style="92" hidden="1"/>
    <col min="7686" max="7686" width="23" style="92" hidden="1"/>
    <col min="7687" max="7937" width="8.44140625" style="92" hidden="1"/>
    <col min="7938" max="7938" width="9.5546875" style="92" hidden="1"/>
    <col min="7939" max="7939" width="14.6640625" style="92" hidden="1"/>
    <col min="7940" max="7940" width="21.109375" style="92" hidden="1"/>
    <col min="7941" max="7941" width="25.6640625" style="92" hidden="1"/>
    <col min="7942" max="7942" width="23" style="92" hidden="1"/>
    <col min="7943" max="8193" width="8.44140625" style="92" hidden="1"/>
    <col min="8194" max="8194" width="9.5546875" style="92" hidden="1"/>
    <col min="8195" max="8195" width="14.6640625" style="92" hidden="1"/>
    <col min="8196" max="8196" width="21.109375" style="92" hidden="1"/>
    <col min="8197" max="8197" width="25.6640625" style="92" hidden="1"/>
    <col min="8198" max="8198" width="23" style="92" hidden="1"/>
    <col min="8199" max="8449" width="8.44140625" style="92" hidden="1"/>
    <col min="8450" max="8450" width="9.5546875" style="92" hidden="1"/>
    <col min="8451" max="8451" width="14.6640625" style="92" hidden="1"/>
    <col min="8452" max="8452" width="21.109375" style="92" hidden="1"/>
    <col min="8453" max="8453" width="25.6640625" style="92" hidden="1"/>
    <col min="8454" max="8454" width="23" style="92" hidden="1"/>
    <col min="8455" max="8705" width="8.44140625" style="92" hidden="1"/>
    <col min="8706" max="8706" width="9.5546875" style="92" hidden="1"/>
    <col min="8707" max="8707" width="14.6640625" style="92" hidden="1"/>
    <col min="8708" max="8708" width="21.109375" style="92" hidden="1"/>
    <col min="8709" max="8709" width="25.6640625" style="92" hidden="1"/>
    <col min="8710" max="8710" width="23" style="92" hidden="1"/>
    <col min="8711" max="8961" width="8.44140625" style="92" hidden="1"/>
    <col min="8962" max="8962" width="9.5546875" style="92" hidden="1"/>
    <col min="8963" max="8963" width="14.6640625" style="92" hidden="1"/>
    <col min="8964" max="8964" width="21.109375" style="92" hidden="1"/>
    <col min="8965" max="8965" width="25.6640625" style="92" hidden="1"/>
    <col min="8966" max="8966" width="23" style="92" hidden="1"/>
    <col min="8967" max="9217" width="8.44140625" style="92" hidden="1"/>
    <col min="9218" max="9218" width="9.5546875" style="92" hidden="1"/>
    <col min="9219" max="9219" width="14.6640625" style="92" hidden="1"/>
    <col min="9220" max="9220" width="21.109375" style="92" hidden="1"/>
    <col min="9221" max="9221" width="25.6640625" style="92" hidden="1"/>
    <col min="9222" max="9222" width="23" style="92" hidden="1"/>
    <col min="9223" max="9473" width="8.44140625" style="92" hidden="1"/>
    <col min="9474" max="9474" width="9.5546875" style="92" hidden="1"/>
    <col min="9475" max="9475" width="14.6640625" style="92" hidden="1"/>
    <col min="9476" max="9476" width="21.109375" style="92" hidden="1"/>
    <col min="9477" max="9477" width="25.6640625" style="92" hidden="1"/>
    <col min="9478" max="9478" width="23" style="92" hidden="1"/>
    <col min="9479" max="9729" width="8.44140625" style="92" hidden="1"/>
    <col min="9730" max="9730" width="9.5546875" style="92" hidden="1"/>
    <col min="9731" max="9731" width="14.6640625" style="92" hidden="1"/>
    <col min="9732" max="9732" width="21.109375" style="92" hidden="1"/>
    <col min="9733" max="9733" width="25.6640625" style="92" hidden="1"/>
    <col min="9734" max="9734" width="23" style="92" hidden="1"/>
    <col min="9735" max="9985" width="8.44140625" style="92" hidden="1"/>
    <col min="9986" max="9986" width="9.5546875" style="92" hidden="1"/>
    <col min="9987" max="9987" width="14.6640625" style="92" hidden="1"/>
    <col min="9988" max="9988" width="21.109375" style="92" hidden="1"/>
    <col min="9989" max="9989" width="25.6640625" style="92" hidden="1"/>
    <col min="9990" max="9990" width="23" style="92" hidden="1"/>
    <col min="9991" max="10241" width="8.44140625" style="92" hidden="1"/>
    <col min="10242" max="10242" width="9.5546875" style="92" hidden="1"/>
    <col min="10243" max="10243" width="14.6640625" style="92" hidden="1"/>
    <col min="10244" max="10244" width="21.109375" style="92" hidden="1"/>
    <col min="10245" max="10245" width="25.6640625" style="92" hidden="1"/>
    <col min="10246" max="10246" width="23" style="92" hidden="1"/>
    <col min="10247" max="10497" width="8.44140625" style="92" hidden="1"/>
    <col min="10498" max="10498" width="9.5546875" style="92" hidden="1"/>
    <col min="10499" max="10499" width="14.6640625" style="92" hidden="1"/>
    <col min="10500" max="10500" width="21.109375" style="92" hidden="1"/>
    <col min="10501" max="10501" width="25.6640625" style="92" hidden="1"/>
    <col min="10502" max="10502" width="23" style="92" hidden="1"/>
    <col min="10503" max="10753" width="8.44140625" style="92" hidden="1"/>
    <col min="10754" max="10754" width="9.5546875" style="92" hidden="1"/>
    <col min="10755" max="10755" width="14.6640625" style="92" hidden="1"/>
    <col min="10756" max="10756" width="21.109375" style="92" hidden="1"/>
    <col min="10757" max="10757" width="25.6640625" style="92" hidden="1"/>
    <col min="10758" max="10758" width="23" style="92" hidden="1"/>
    <col min="10759" max="11009" width="8.44140625" style="92" hidden="1"/>
    <col min="11010" max="11010" width="9.5546875" style="92" hidden="1"/>
    <col min="11011" max="11011" width="14.6640625" style="92" hidden="1"/>
    <col min="11012" max="11012" width="21.109375" style="92" hidden="1"/>
    <col min="11013" max="11013" width="25.6640625" style="92" hidden="1"/>
    <col min="11014" max="11014" width="23" style="92" hidden="1"/>
    <col min="11015" max="11265" width="8.44140625" style="92" hidden="1"/>
    <col min="11266" max="11266" width="9.5546875" style="92" hidden="1"/>
    <col min="11267" max="11267" width="14.6640625" style="92" hidden="1"/>
    <col min="11268" max="11268" width="21.109375" style="92" hidden="1"/>
    <col min="11269" max="11269" width="25.6640625" style="92" hidden="1"/>
    <col min="11270" max="11270" width="23" style="92" hidden="1"/>
    <col min="11271" max="11521" width="8.44140625" style="92" hidden="1"/>
    <col min="11522" max="11522" width="9.5546875" style="92" hidden="1"/>
    <col min="11523" max="11523" width="14.6640625" style="92" hidden="1"/>
    <col min="11524" max="11524" width="21.109375" style="92" hidden="1"/>
    <col min="11525" max="11525" width="25.6640625" style="92" hidden="1"/>
    <col min="11526" max="11526" width="23" style="92" hidden="1"/>
    <col min="11527" max="11777" width="8.44140625" style="92" hidden="1"/>
    <col min="11778" max="11778" width="9.5546875" style="92" hidden="1"/>
    <col min="11779" max="11779" width="14.6640625" style="92" hidden="1"/>
    <col min="11780" max="11780" width="21.109375" style="92" hidden="1"/>
    <col min="11781" max="11781" width="25.6640625" style="92" hidden="1"/>
    <col min="11782" max="11782" width="23" style="92" hidden="1"/>
    <col min="11783" max="12033" width="8.44140625" style="92" hidden="1"/>
    <col min="12034" max="12034" width="9.5546875" style="92" hidden="1"/>
    <col min="12035" max="12035" width="14.6640625" style="92" hidden="1"/>
    <col min="12036" max="12036" width="21.109375" style="92" hidden="1"/>
    <col min="12037" max="12037" width="25.6640625" style="92" hidden="1"/>
    <col min="12038" max="12038" width="23" style="92" hidden="1"/>
    <col min="12039" max="12289" width="8.44140625" style="92" hidden="1"/>
    <col min="12290" max="12290" width="9.5546875" style="92" hidden="1"/>
    <col min="12291" max="12291" width="14.6640625" style="92" hidden="1"/>
    <col min="12292" max="12292" width="21.109375" style="92" hidden="1"/>
    <col min="12293" max="12293" width="25.6640625" style="92" hidden="1"/>
    <col min="12294" max="12294" width="23" style="92" hidden="1"/>
    <col min="12295" max="12545" width="8.44140625" style="92" hidden="1"/>
    <col min="12546" max="12546" width="9.5546875" style="92" hidden="1"/>
    <col min="12547" max="12547" width="14.6640625" style="92" hidden="1"/>
    <col min="12548" max="12548" width="21.109375" style="92" hidden="1"/>
    <col min="12549" max="12549" width="25.6640625" style="92" hidden="1"/>
    <col min="12550" max="12550" width="23" style="92" hidden="1"/>
    <col min="12551" max="12801" width="8.44140625" style="92" hidden="1"/>
    <col min="12802" max="12802" width="9.5546875" style="92" hidden="1"/>
    <col min="12803" max="12803" width="14.6640625" style="92" hidden="1"/>
    <col min="12804" max="12804" width="21.109375" style="92" hidden="1"/>
    <col min="12805" max="12805" width="25.6640625" style="92" hidden="1"/>
    <col min="12806" max="12806" width="23" style="92" hidden="1"/>
    <col min="12807" max="13057" width="8.44140625" style="92" hidden="1"/>
    <col min="13058" max="13058" width="9.5546875" style="92" hidden="1"/>
    <col min="13059" max="13059" width="14.6640625" style="92" hidden="1"/>
    <col min="13060" max="13060" width="21.109375" style="92" hidden="1"/>
    <col min="13061" max="13061" width="25.6640625" style="92" hidden="1"/>
    <col min="13062" max="13062" width="23" style="92" hidden="1"/>
    <col min="13063" max="13313" width="8.44140625" style="92" hidden="1"/>
    <col min="13314" max="13314" width="9.5546875" style="92" hidden="1"/>
    <col min="13315" max="13315" width="14.6640625" style="92" hidden="1"/>
    <col min="13316" max="13316" width="21.109375" style="92" hidden="1"/>
    <col min="13317" max="13317" width="25.6640625" style="92" hidden="1"/>
    <col min="13318" max="13318" width="23" style="92" hidden="1"/>
    <col min="13319" max="13569" width="8.44140625" style="92" hidden="1"/>
    <col min="13570" max="13570" width="9.5546875" style="92" hidden="1"/>
    <col min="13571" max="13571" width="14.6640625" style="92" hidden="1"/>
    <col min="13572" max="13572" width="21.109375" style="92" hidden="1"/>
    <col min="13573" max="13573" width="25.6640625" style="92" hidden="1"/>
    <col min="13574" max="13574" width="23" style="92" hidden="1"/>
    <col min="13575" max="13825" width="8.44140625" style="92" hidden="1"/>
    <col min="13826" max="13826" width="9.5546875" style="92" hidden="1"/>
    <col min="13827" max="13827" width="14.6640625" style="92" hidden="1"/>
    <col min="13828" max="13828" width="21.109375" style="92" hidden="1"/>
    <col min="13829" max="13829" width="25.6640625" style="92" hidden="1"/>
    <col min="13830" max="13830" width="23" style="92" hidden="1"/>
    <col min="13831" max="14081" width="8.44140625" style="92" hidden="1"/>
    <col min="14082" max="14082" width="9.5546875" style="92" hidden="1"/>
    <col min="14083" max="14083" width="14.6640625" style="92" hidden="1"/>
    <col min="14084" max="14084" width="21.109375" style="92" hidden="1"/>
    <col min="14085" max="14085" width="25.6640625" style="92" hidden="1"/>
    <col min="14086" max="14086" width="23" style="92" hidden="1"/>
    <col min="14087" max="14337" width="8.44140625" style="92" hidden="1"/>
    <col min="14338" max="14338" width="9.5546875" style="92" hidden="1"/>
    <col min="14339" max="14339" width="14.6640625" style="92" hidden="1"/>
    <col min="14340" max="14340" width="21.109375" style="92" hidden="1"/>
    <col min="14341" max="14341" width="25.6640625" style="92" hidden="1"/>
    <col min="14342" max="14342" width="23" style="92" hidden="1"/>
    <col min="14343" max="14593" width="8.44140625" style="92" hidden="1"/>
    <col min="14594" max="14594" width="9.5546875" style="92" hidden="1"/>
    <col min="14595" max="14595" width="14.6640625" style="92" hidden="1"/>
    <col min="14596" max="14596" width="21.109375" style="92" hidden="1"/>
    <col min="14597" max="14597" width="25.6640625" style="92" hidden="1"/>
    <col min="14598" max="14598" width="23" style="92" hidden="1"/>
    <col min="14599" max="14849" width="8.44140625" style="92" hidden="1"/>
    <col min="14850" max="14850" width="9.5546875" style="92" hidden="1"/>
    <col min="14851" max="14851" width="14.6640625" style="92" hidden="1"/>
    <col min="14852" max="14852" width="21.109375" style="92" hidden="1"/>
    <col min="14853" max="14853" width="25.6640625" style="92" hidden="1"/>
    <col min="14854" max="14854" width="23" style="92" hidden="1"/>
    <col min="14855" max="15105" width="8.44140625" style="92" hidden="1"/>
    <col min="15106" max="15106" width="9.5546875" style="92" hidden="1"/>
    <col min="15107" max="15107" width="14.6640625" style="92" hidden="1"/>
    <col min="15108" max="15108" width="21.109375" style="92" hidden="1"/>
    <col min="15109" max="15109" width="25.6640625" style="92" hidden="1"/>
    <col min="15110" max="15110" width="23" style="92" hidden="1"/>
    <col min="15111" max="15361" width="8.44140625" style="92" hidden="1"/>
    <col min="15362" max="15362" width="9.5546875" style="92" hidden="1"/>
    <col min="15363" max="15363" width="14.6640625" style="92" hidden="1"/>
    <col min="15364" max="15364" width="21.109375" style="92" hidden="1"/>
    <col min="15365" max="15365" width="25.6640625" style="92" hidden="1"/>
    <col min="15366" max="15366" width="23" style="92" hidden="1"/>
    <col min="15367" max="15617" width="8.44140625" style="92" hidden="1"/>
    <col min="15618" max="15618" width="9.5546875" style="92" hidden="1"/>
    <col min="15619" max="15619" width="14.6640625" style="92" hidden="1"/>
    <col min="15620" max="15620" width="21.109375" style="92" hidden="1"/>
    <col min="15621" max="15621" width="25.6640625" style="92" hidden="1"/>
    <col min="15622" max="15622" width="23" style="92" hidden="1"/>
    <col min="15623" max="15873" width="8.44140625" style="92" hidden="1"/>
    <col min="15874" max="15874" width="9.5546875" style="92" hidden="1"/>
    <col min="15875" max="15875" width="14.6640625" style="92" hidden="1"/>
    <col min="15876" max="15876" width="21.109375" style="92" hidden="1"/>
    <col min="15877" max="15877" width="25.6640625" style="92" hidden="1"/>
    <col min="15878" max="15878" width="23" style="92" hidden="1"/>
    <col min="15879" max="16129" width="8.44140625" style="92" hidden="1"/>
    <col min="16130" max="16130" width="9.5546875" style="92" hidden="1"/>
    <col min="16131" max="16131" width="14.6640625" style="92" hidden="1"/>
    <col min="16132" max="16132" width="21.109375" style="92" hidden="1"/>
    <col min="16133" max="16133" width="25.6640625" style="92" hidden="1"/>
    <col min="16134" max="16134" width="23" style="92" hidden="1"/>
    <col min="16135" max="16384" width="8.44140625" style="92" hidden="1"/>
  </cols>
  <sheetData>
    <row r="1" spans="1:6" ht="69" customHeight="1">
      <c r="A1" s="101"/>
      <c r="B1" s="168" t="s">
        <v>0</v>
      </c>
      <c r="C1" s="169"/>
      <c r="D1" s="169"/>
      <c r="E1" s="169"/>
      <c r="F1" s="170"/>
    </row>
    <row r="2" spans="1:6" ht="18">
      <c r="A2" s="166"/>
      <c r="B2" s="166"/>
      <c r="C2" s="166"/>
      <c r="D2" s="166"/>
      <c r="E2" s="166"/>
      <c r="F2" s="166"/>
    </row>
    <row r="3" spans="1:6" ht="18">
      <c r="A3" s="166" t="s">
        <v>1</v>
      </c>
      <c r="B3" s="166"/>
      <c r="C3" s="166"/>
      <c r="D3" s="166"/>
      <c r="E3" s="166"/>
      <c r="F3" s="166"/>
    </row>
    <row r="4" spans="1:6" ht="18">
      <c r="A4" s="166" t="s">
        <v>2</v>
      </c>
      <c r="B4" s="166"/>
      <c r="C4" s="166"/>
      <c r="D4" s="166"/>
      <c r="E4" s="166"/>
      <c r="F4" s="166"/>
    </row>
    <row r="5" spans="1:6" ht="18">
      <c r="A5" s="166" t="s">
        <v>3</v>
      </c>
      <c r="B5" s="167"/>
      <c r="C5" s="167"/>
      <c r="D5" s="167"/>
      <c r="E5" s="167"/>
      <c r="F5" s="167"/>
    </row>
    <row r="6" spans="1:6" ht="18">
      <c r="A6" s="166"/>
      <c r="B6" s="166"/>
      <c r="C6" s="166"/>
      <c r="D6" s="166"/>
      <c r="E6" s="166"/>
      <c r="F6" s="166"/>
    </row>
    <row r="7" spans="1:6" ht="18">
      <c r="A7" s="166"/>
      <c r="B7" s="166"/>
      <c r="C7" s="166"/>
      <c r="D7" s="166"/>
      <c r="E7" s="166"/>
      <c r="F7" s="166"/>
    </row>
    <row r="8" spans="1:6" ht="18">
      <c r="A8" s="166"/>
      <c r="B8" s="166"/>
      <c r="C8" s="166"/>
      <c r="D8" s="166"/>
      <c r="E8" s="166"/>
      <c r="F8" s="166"/>
    </row>
    <row r="9" spans="1:6" ht="18">
      <c r="A9" s="166" t="s">
        <v>4</v>
      </c>
      <c r="B9" s="166"/>
      <c r="C9" s="166"/>
      <c r="D9" s="166"/>
      <c r="E9" s="166"/>
      <c r="F9" s="166"/>
    </row>
    <row r="10" spans="1:6" ht="18">
      <c r="A10" s="166" t="s">
        <v>5</v>
      </c>
      <c r="B10" s="166"/>
      <c r="C10" s="166"/>
      <c r="D10" s="166"/>
      <c r="E10" s="166"/>
      <c r="F10" s="166"/>
    </row>
    <row r="11" spans="1:6" ht="18">
      <c r="A11" s="171" t="s">
        <v>6</v>
      </c>
      <c r="B11" s="172"/>
      <c r="C11" s="172"/>
      <c r="D11" s="172"/>
      <c r="E11" s="172"/>
      <c r="F11" s="173"/>
    </row>
    <row r="12" spans="1:6" ht="18">
      <c r="A12" s="93"/>
      <c r="B12" s="94"/>
      <c r="C12" s="94"/>
      <c r="D12" s="94"/>
      <c r="E12" s="94"/>
      <c r="F12" s="95"/>
    </row>
    <row r="13" spans="1:6" ht="18">
      <c r="A13" s="171"/>
      <c r="B13" s="172"/>
      <c r="C13" s="172"/>
      <c r="D13" s="172"/>
      <c r="E13" s="172"/>
      <c r="F13" s="173"/>
    </row>
    <row r="14" spans="1:6" ht="18">
      <c r="A14" s="166"/>
      <c r="B14" s="166"/>
      <c r="C14" s="166"/>
      <c r="D14" s="166"/>
      <c r="E14" s="166"/>
      <c r="F14" s="166"/>
    </row>
    <row r="15" spans="1:6" ht="18">
      <c r="A15" s="166"/>
      <c r="B15" s="166"/>
      <c r="C15" s="166"/>
      <c r="D15" s="166"/>
      <c r="E15" s="166"/>
      <c r="F15" s="166"/>
    </row>
    <row r="16" spans="1:6" ht="18">
      <c r="A16" s="166" t="s">
        <v>7</v>
      </c>
      <c r="B16" s="166"/>
      <c r="C16" s="166"/>
      <c r="D16" s="166"/>
      <c r="E16" s="166"/>
      <c r="F16" s="166"/>
    </row>
    <row r="17" spans="1:6" ht="18">
      <c r="A17" s="166"/>
      <c r="B17" s="166"/>
      <c r="C17" s="166"/>
      <c r="D17" s="166"/>
      <c r="E17" s="166"/>
      <c r="F17" s="166"/>
    </row>
    <row r="18" spans="1:6" ht="18">
      <c r="A18" s="166"/>
      <c r="B18" s="166"/>
      <c r="C18" s="166"/>
      <c r="D18" s="166"/>
      <c r="E18" s="166"/>
      <c r="F18" s="166"/>
    </row>
    <row r="19" spans="1:6" ht="18">
      <c r="A19" s="166"/>
      <c r="B19" s="166"/>
      <c r="C19" s="166"/>
      <c r="D19" s="166"/>
      <c r="E19" s="166"/>
      <c r="F19" s="166"/>
    </row>
    <row r="20" spans="1:6" ht="18">
      <c r="A20" s="166" t="s">
        <v>8</v>
      </c>
      <c r="B20" s="166"/>
      <c r="C20" s="166"/>
      <c r="D20" s="166"/>
      <c r="E20" s="166"/>
      <c r="F20" s="166"/>
    </row>
    <row r="21" spans="1:6" ht="18">
      <c r="A21" s="166" t="s">
        <v>9</v>
      </c>
      <c r="B21" s="166"/>
      <c r="C21" s="166"/>
      <c r="D21" s="166"/>
      <c r="E21" s="166"/>
      <c r="F21" s="166"/>
    </row>
    <row r="22" spans="1:6" ht="18">
      <c r="A22" s="166" t="s">
        <v>10</v>
      </c>
      <c r="B22" s="166"/>
      <c r="C22" s="166"/>
      <c r="D22" s="166"/>
      <c r="E22" s="166"/>
      <c r="F22" s="166"/>
    </row>
    <row r="23" spans="1:6" ht="18">
      <c r="A23" s="93"/>
      <c r="B23" s="94"/>
      <c r="C23" s="94"/>
      <c r="D23" s="94"/>
      <c r="E23" s="94"/>
      <c r="F23" s="95"/>
    </row>
    <row r="24" spans="1:6" ht="18">
      <c r="A24" s="93"/>
      <c r="B24" s="94"/>
      <c r="C24" s="96" t="s">
        <v>11</v>
      </c>
      <c r="D24" s="102" t="s">
        <v>12</v>
      </c>
      <c r="E24" s="103" t="s">
        <v>13</v>
      </c>
      <c r="F24" s="95"/>
    </row>
    <row r="25" spans="1:6" ht="18">
      <c r="A25" s="93"/>
      <c r="B25" s="94"/>
      <c r="C25" s="96" t="s">
        <v>14</v>
      </c>
      <c r="D25" s="143" t="s">
        <v>15</v>
      </c>
      <c r="E25" s="144" t="s">
        <v>16</v>
      </c>
      <c r="F25" s="95"/>
    </row>
    <row r="26" spans="1:6" ht="18">
      <c r="A26" s="93"/>
      <c r="B26" s="94"/>
      <c r="C26" s="97" t="s">
        <v>17</v>
      </c>
      <c r="D26" s="141"/>
      <c r="E26" s="98"/>
      <c r="F26" s="95"/>
    </row>
    <row r="27" spans="1:6" ht="18">
      <c r="A27" s="93"/>
      <c r="B27" s="94"/>
      <c r="C27" s="99" t="s">
        <v>18</v>
      </c>
      <c r="D27" s="142"/>
      <c r="E27" s="100"/>
      <c r="F27" s="95"/>
    </row>
    <row r="28" spans="1:6" ht="18">
      <c r="A28" s="93"/>
      <c r="B28" s="94"/>
      <c r="F28" s="95"/>
    </row>
    <row r="29" spans="1:6" ht="18">
      <c r="A29" s="166"/>
      <c r="B29" s="166"/>
      <c r="C29" s="166"/>
      <c r="D29" s="166"/>
      <c r="E29" s="166"/>
      <c r="F29" s="166"/>
    </row>
    <row r="30" spans="1:6" ht="18">
      <c r="A30" s="93"/>
      <c r="B30" s="94"/>
      <c r="C30" s="94"/>
      <c r="D30" s="94"/>
      <c r="E30" s="94"/>
      <c r="F30" s="95"/>
    </row>
    <row r="31" spans="1:6" ht="18">
      <c r="A31" s="174"/>
      <c r="B31" s="175"/>
      <c r="C31" s="175"/>
      <c r="D31" s="175"/>
      <c r="E31" s="175"/>
      <c r="F31" s="176"/>
    </row>
    <row r="32" spans="1:6" ht="18"/>
    <row r="33" s="92" customFormat="1" ht="17.25" customHeight="1"/>
    <row r="34" s="92" customFormat="1" ht="0" hidden="1" customHeight="1"/>
    <row r="35" s="92" customFormat="1" ht="0" hidden="1" customHeight="1"/>
    <row r="36" s="92" customFormat="1" ht="0" hidden="1" customHeight="1"/>
    <row r="37" s="92" customFormat="1" ht="0" hidden="1" customHeight="1"/>
    <row r="38" s="92" customFormat="1" ht="0" hidden="1" customHeight="1"/>
  </sheetData>
  <mergeCells count="23">
    <mergeCell ref="A17:F17"/>
    <mergeCell ref="A13:F13"/>
    <mergeCell ref="A31:F31"/>
    <mergeCell ref="A18:F18"/>
    <mergeCell ref="A19:F19"/>
    <mergeCell ref="A20:F20"/>
    <mergeCell ref="A21:F21"/>
    <mergeCell ref="A22:F22"/>
    <mergeCell ref="A29:F29"/>
    <mergeCell ref="A6:F6"/>
    <mergeCell ref="A14:F14"/>
    <mergeCell ref="A15:F15"/>
    <mergeCell ref="A16:F16"/>
    <mergeCell ref="A7:F7"/>
    <mergeCell ref="A8:F8"/>
    <mergeCell ref="A9:F9"/>
    <mergeCell ref="A10:F10"/>
    <mergeCell ref="A11:F11"/>
    <mergeCell ref="A2:F2"/>
    <mergeCell ref="A3:F3"/>
    <mergeCell ref="A4:F4"/>
    <mergeCell ref="A5:F5"/>
    <mergeCell ref="B1:F1"/>
  </mergeCells>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87AF1-AC41-44BE-B89E-BC5CDB7F6115}">
  <dimension ref="B1:E14"/>
  <sheetViews>
    <sheetView showGridLines="0" zoomScale="61" zoomScaleNormal="100" workbookViewId="0">
      <selection activeCell="C4" sqref="C4"/>
    </sheetView>
  </sheetViews>
  <sheetFormatPr defaultColWidth="6.88671875" defaultRowHeight="14.1"/>
  <cols>
    <col min="1" max="1" width="0.6640625" customWidth="1"/>
    <col min="2" max="4" width="12.88671875" customWidth="1"/>
    <col min="5" max="5" width="34" bestFit="1" customWidth="1"/>
  </cols>
  <sheetData>
    <row r="1" spans="2:5" ht="56.25" customHeight="1"/>
    <row r="2" spans="2:5" ht="36" customHeight="1">
      <c r="B2" s="177" t="s">
        <v>19</v>
      </c>
      <c r="C2" s="177"/>
      <c r="D2" s="177"/>
      <c r="E2" s="177"/>
    </row>
    <row r="3" spans="2:5" ht="36" customHeight="1">
      <c r="B3" s="164" t="s">
        <v>13</v>
      </c>
      <c r="C3" s="163" t="s">
        <v>20</v>
      </c>
      <c r="D3" s="162" t="s">
        <v>21</v>
      </c>
      <c r="E3" s="162" t="s">
        <v>22</v>
      </c>
    </row>
    <row r="4" spans="2:5" ht="33" customHeight="1">
      <c r="B4" s="160" t="s">
        <v>23</v>
      </c>
      <c r="C4" s="161" t="s">
        <v>24</v>
      </c>
      <c r="D4" s="160" t="s">
        <v>25</v>
      </c>
      <c r="E4" s="160" t="s">
        <v>26</v>
      </c>
    </row>
    <row r="5" spans="2:5" ht="33" customHeight="1">
      <c r="B5" s="155"/>
      <c r="C5" s="159"/>
      <c r="D5" s="158"/>
      <c r="E5" s="157"/>
    </row>
    <row r="6" spans="2:5" ht="33" customHeight="1">
      <c r="B6" s="155"/>
      <c r="C6" s="154"/>
      <c r="D6" s="153"/>
      <c r="E6" s="156"/>
    </row>
    <row r="7" spans="2:5" ht="33" customHeight="1">
      <c r="B7" s="155"/>
      <c r="C7" s="154"/>
      <c r="D7" s="153"/>
      <c r="E7" s="149"/>
    </row>
    <row r="8" spans="2:5" ht="33" customHeight="1">
      <c r="B8" s="155"/>
      <c r="C8" s="154"/>
      <c r="D8" s="153"/>
      <c r="E8" s="149"/>
    </row>
    <row r="9" spans="2:5" ht="33" customHeight="1">
      <c r="B9" s="155"/>
      <c r="C9" s="154"/>
      <c r="D9" s="153"/>
      <c r="E9" s="149"/>
    </row>
    <row r="10" spans="2:5" ht="33" customHeight="1">
      <c r="B10" s="155"/>
      <c r="C10" s="154"/>
      <c r="D10" s="153"/>
      <c r="E10" s="149"/>
    </row>
    <row r="11" spans="2:5" ht="33" customHeight="1">
      <c r="B11" s="155"/>
      <c r="C11" s="154"/>
      <c r="D11" s="153"/>
      <c r="E11" s="149"/>
    </row>
    <row r="12" spans="2:5" ht="33" customHeight="1">
      <c r="B12" s="152"/>
      <c r="C12" s="151"/>
      <c r="D12" s="150"/>
      <c r="E12" s="149"/>
    </row>
    <row r="13" spans="2:5" ht="33" customHeight="1">
      <c r="B13" s="152"/>
      <c r="C13" s="151"/>
      <c r="D13" s="150"/>
      <c r="E13" s="149"/>
    </row>
    <row r="14" spans="2:5" ht="33" customHeight="1" thickBot="1">
      <c r="B14" s="148"/>
      <c r="C14" s="147"/>
      <c r="D14" s="146"/>
      <c r="E14" s="145" t="s">
        <v>27</v>
      </c>
    </row>
  </sheetData>
  <mergeCells count="1">
    <mergeCell ref="B2:E2"/>
  </mergeCells>
  <pageMargins left="0.7" right="0.7" top="0.75" bottom="0.75" header="0.3" footer="0.3"/>
  <pageSetup orientation="portrait" r:id="rId1"/>
  <headerFooter>
    <oddHeader>&amp;L&amp;G</oddHeader>
    <oddFooter>&amp;L&amp;"Verdana,Regular"&amp;8&amp;K00-049All rights reserved&amp;C&amp;"Verdana,Regular"&amp;8&amp;K00-049- Confidential -&amp;R&amp;"Verdana,Regular"&amp;8&amp;K05+000Powered By: ZooKoo Consulting Pvt. Ltd.</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9E30D-DE10-41A2-A5A8-DC0AF2806922}">
  <dimension ref="A1:G58"/>
  <sheetViews>
    <sheetView zoomScale="87" zoomScaleNormal="115" workbookViewId="0">
      <selection activeCell="E48" sqref="E48"/>
    </sheetView>
  </sheetViews>
  <sheetFormatPr defaultColWidth="0" defaultRowHeight="15" zeroHeight="1"/>
  <cols>
    <col min="1" max="1" width="9" style="105" customWidth="1"/>
    <col min="2" max="2" width="1.5546875" style="105" customWidth="1"/>
    <col min="3" max="3" width="32.5546875" style="105" customWidth="1"/>
    <col min="4" max="4" width="28.5546875" style="105" customWidth="1"/>
    <col min="5" max="5" width="26.5546875" style="105" customWidth="1"/>
    <col min="6" max="6" width="31.6640625" style="105" customWidth="1"/>
    <col min="7" max="7" width="7.109375" style="105" customWidth="1"/>
    <col min="8" max="16384" width="7.109375" style="105" hidden="1"/>
  </cols>
  <sheetData>
    <row r="1" spans="1:7">
      <c r="A1" s="104"/>
      <c r="B1" s="104"/>
      <c r="C1" s="104"/>
      <c r="D1" s="104"/>
      <c r="E1" s="104"/>
      <c r="F1" s="104"/>
      <c r="G1" s="104"/>
    </row>
    <row r="2" spans="1:7" ht="18.95">
      <c r="A2" s="104"/>
      <c r="B2" s="188" t="s">
        <v>28</v>
      </c>
      <c r="C2" s="189"/>
      <c r="D2" s="189"/>
      <c r="E2" s="189"/>
      <c r="F2" s="190"/>
      <c r="G2" s="104"/>
    </row>
    <row r="3" spans="1:7" s="131" customFormat="1">
      <c r="A3" s="130"/>
      <c r="B3" s="178" t="s">
        <v>29</v>
      </c>
      <c r="C3" s="178"/>
      <c r="D3" s="178"/>
      <c r="E3" s="178"/>
      <c r="F3" s="178"/>
      <c r="G3" s="130"/>
    </row>
    <row r="4" spans="1:7" ht="3" customHeight="1">
      <c r="A4" s="104"/>
      <c r="B4" s="106"/>
      <c r="C4" s="106"/>
      <c r="D4" s="106"/>
      <c r="E4" s="106"/>
      <c r="F4" s="106"/>
      <c r="G4" s="104"/>
    </row>
    <row r="5" spans="1:7">
      <c r="A5" s="104"/>
      <c r="B5" s="104"/>
      <c r="C5" s="197" t="s">
        <v>30</v>
      </c>
      <c r="D5" s="198"/>
      <c r="E5" s="198"/>
      <c r="F5" s="199"/>
      <c r="G5" s="104"/>
    </row>
    <row r="6" spans="1:7" ht="42" customHeight="1">
      <c r="A6" s="104"/>
      <c r="B6" s="104"/>
      <c r="C6" s="200"/>
      <c r="D6" s="201"/>
      <c r="E6" s="201"/>
      <c r="F6" s="202"/>
      <c r="G6" s="104"/>
    </row>
    <row r="7" spans="1:7">
      <c r="A7" s="104"/>
      <c r="B7" s="104"/>
      <c r="C7" s="104"/>
      <c r="D7" s="104"/>
      <c r="E7" s="104"/>
      <c r="F7" s="104"/>
      <c r="G7" s="104"/>
    </row>
    <row r="8" spans="1:7" ht="18.95">
      <c r="A8" s="104"/>
      <c r="B8" s="188" t="s">
        <v>31</v>
      </c>
      <c r="C8" s="189"/>
      <c r="D8" s="189"/>
      <c r="E8" s="189"/>
      <c r="F8" s="190"/>
      <c r="G8" s="104"/>
    </row>
    <row r="9" spans="1:7" s="131" customFormat="1">
      <c r="A9" s="130"/>
      <c r="B9" s="178" t="s">
        <v>32</v>
      </c>
      <c r="C9" s="178"/>
      <c r="D9" s="178"/>
      <c r="E9" s="178"/>
      <c r="F9" s="178"/>
      <c r="G9" s="130"/>
    </row>
    <row r="10" spans="1:7" ht="3" customHeight="1">
      <c r="A10" s="104"/>
      <c r="B10" s="106"/>
      <c r="C10" s="106"/>
      <c r="D10" s="106"/>
      <c r="E10" s="106"/>
      <c r="F10" s="106"/>
      <c r="G10" s="104"/>
    </row>
    <row r="11" spans="1:7">
      <c r="A11" s="104"/>
      <c r="B11" s="104"/>
      <c r="C11" s="182" t="s">
        <v>33</v>
      </c>
      <c r="D11" s="183"/>
      <c r="E11" s="183"/>
      <c r="F11" s="184"/>
      <c r="G11" s="104"/>
    </row>
    <row r="12" spans="1:7">
      <c r="A12" s="104"/>
      <c r="B12" s="104"/>
      <c r="C12" s="185"/>
      <c r="D12" s="186"/>
      <c r="E12" s="186"/>
      <c r="F12" s="187"/>
      <c r="G12" s="104"/>
    </row>
    <row r="13" spans="1:7">
      <c r="A13" s="104"/>
      <c r="B13" s="106"/>
      <c r="C13" s="106"/>
      <c r="D13" s="106"/>
      <c r="E13" s="106"/>
      <c r="F13" s="106"/>
      <c r="G13" s="104"/>
    </row>
    <row r="14" spans="1:7" ht="18.95">
      <c r="A14" s="104"/>
      <c r="B14" s="188" t="s">
        <v>34</v>
      </c>
      <c r="C14" s="189"/>
      <c r="D14" s="189"/>
      <c r="E14" s="189"/>
      <c r="F14" s="190"/>
      <c r="G14" s="104"/>
    </row>
    <row r="15" spans="1:7" s="131" customFormat="1">
      <c r="A15" s="130"/>
      <c r="B15" s="178" t="s">
        <v>35</v>
      </c>
      <c r="C15" s="178"/>
      <c r="D15" s="178"/>
      <c r="E15" s="178"/>
      <c r="F15" s="178"/>
      <c r="G15" s="130"/>
    </row>
    <row r="16" spans="1:7" ht="3" customHeight="1">
      <c r="A16" s="104"/>
      <c r="B16" s="106"/>
      <c r="C16" s="106"/>
      <c r="D16" s="106"/>
      <c r="E16" s="106"/>
      <c r="F16" s="106"/>
      <c r="G16" s="104"/>
    </row>
    <row r="17" spans="1:7" ht="18.75" customHeight="1">
      <c r="A17" s="104"/>
      <c r="B17" s="104"/>
      <c r="C17" s="191" t="s">
        <v>36</v>
      </c>
      <c r="D17" s="192"/>
      <c r="E17" s="192"/>
      <c r="F17" s="193"/>
      <c r="G17" s="104"/>
    </row>
    <row r="18" spans="1:7" ht="90.75" customHeight="1">
      <c r="A18" s="104"/>
      <c r="B18" s="104"/>
      <c r="C18" s="194"/>
      <c r="D18" s="195"/>
      <c r="E18" s="195"/>
      <c r="F18" s="196"/>
      <c r="G18" s="104"/>
    </row>
    <row r="19" spans="1:7">
      <c r="A19" s="104"/>
      <c r="B19" s="106"/>
      <c r="C19" s="106"/>
      <c r="D19" s="106"/>
      <c r="E19" s="106"/>
      <c r="F19" s="106"/>
      <c r="G19" s="104"/>
    </row>
    <row r="20" spans="1:7" ht="18.95">
      <c r="A20" s="104"/>
      <c r="B20" s="188" t="s">
        <v>37</v>
      </c>
      <c r="C20" s="189"/>
      <c r="D20" s="189"/>
      <c r="E20" s="189"/>
      <c r="F20" s="190"/>
      <c r="G20" s="104"/>
    </row>
    <row r="21" spans="1:7" s="131" customFormat="1">
      <c r="A21" s="130"/>
      <c r="B21" s="178" t="s">
        <v>38</v>
      </c>
      <c r="C21" s="178"/>
      <c r="D21" s="178"/>
      <c r="E21" s="178"/>
      <c r="F21" s="178"/>
      <c r="G21" s="130"/>
    </row>
    <row r="22" spans="1:7" ht="3" customHeight="1">
      <c r="A22" s="104"/>
      <c r="B22" s="106"/>
      <c r="C22" s="106"/>
      <c r="D22" s="106"/>
      <c r="E22" s="106"/>
      <c r="F22" s="106"/>
      <c r="G22" s="104"/>
    </row>
    <row r="23" spans="1:7">
      <c r="A23" s="104"/>
      <c r="B23" s="104"/>
      <c r="C23" s="107" t="s">
        <v>39</v>
      </c>
      <c r="D23" s="179" t="s">
        <v>40</v>
      </c>
      <c r="E23" s="180"/>
      <c r="F23" s="181"/>
      <c r="G23" s="104"/>
    </row>
    <row r="24" spans="1:7">
      <c r="A24" s="104"/>
      <c r="B24" s="104"/>
      <c r="C24" s="107" t="s">
        <v>41</v>
      </c>
      <c r="D24" s="179" t="s">
        <v>42</v>
      </c>
      <c r="E24" s="180"/>
      <c r="F24" s="181"/>
      <c r="G24" s="104"/>
    </row>
    <row r="25" spans="1:7">
      <c r="A25" s="104"/>
      <c r="B25" s="104"/>
      <c r="C25" s="107" t="s">
        <v>43</v>
      </c>
      <c r="D25" s="179" t="s">
        <v>44</v>
      </c>
      <c r="E25" s="180"/>
      <c r="F25" s="181"/>
      <c r="G25" s="104"/>
    </row>
    <row r="26" spans="1:7">
      <c r="A26" s="104"/>
      <c r="B26" s="104"/>
      <c r="C26" s="107"/>
      <c r="D26" s="179"/>
      <c r="E26" s="180"/>
      <c r="F26" s="181"/>
      <c r="G26" s="104"/>
    </row>
    <row r="27" spans="1:7">
      <c r="A27" s="104"/>
      <c r="B27" s="106"/>
      <c r="C27" s="106"/>
      <c r="D27" s="106"/>
      <c r="E27" s="106"/>
      <c r="F27" s="106"/>
      <c r="G27" s="104"/>
    </row>
    <row r="28" spans="1:7" ht="18.95">
      <c r="A28" s="104"/>
      <c r="B28" s="188" t="s">
        <v>45</v>
      </c>
      <c r="C28" s="189"/>
      <c r="D28" s="189"/>
      <c r="E28" s="189"/>
      <c r="F28" s="190"/>
      <c r="G28" s="104"/>
    </row>
    <row r="29" spans="1:7" s="131" customFormat="1">
      <c r="A29" s="130"/>
      <c r="B29" s="178" t="s">
        <v>46</v>
      </c>
      <c r="C29" s="178"/>
      <c r="D29" s="178"/>
      <c r="E29" s="178"/>
      <c r="F29" s="178"/>
      <c r="G29" s="130"/>
    </row>
    <row r="30" spans="1:7" ht="3" customHeight="1">
      <c r="A30" s="104"/>
      <c r="B30" s="106"/>
      <c r="C30" s="106"/>
      <c r="D30" s="106"/>
      <c r="E30" s="106"/>
      <c r="F30" s="106"/>
      <c r="G30" s="104"/>
    </row>
    <row r="31" spans="1:7" ht="15.95">
      <c r="A31" s="104"/>
      <c r="B31" s="104"/>
      <c r="C31" s="139" t="s">
        <v>47</v>
      </c>
      <c r="D31" s="203" t="s">
        <v>48</v>
      </c>
      <c r="E31" s="204"/>
      <c r="F31" s="205"/>
      <c r="G31" s="104"/>
    </row>
    <row r="32" spans="1:7">
      <c r="A32" s="104"/>
      <c r="B32" s="104"/>
      <c r="C32" s="108"/>
      <c r="D32" s="206"/>
      <c r="E32" s="207"/>
      <c r="F32" s="208"/>
      <c r="G32" s="104"/>
    </row>
    <row r="33" spans="1:7">
      <c r="A33" s="104"/>
      <c r="B33" s="104"/>
      <c r="C33" s="109"/>
      <c r="D33" s="110"/>
      <c r="E33" s="110"/>
      <c r="F33" s="110"/>
      <c r="G33" s="104"/>
    </row>
    <row r="34" spans="1:7" ht="18.95">
      <c r="A34" s="104"/>
      <c r="B34" s="209" t="s">
        <v>49</v>
      </c>
      <c r="C34" s="210"/>
      <c r="D34" s="210"/>
      <c r="E34" s="210"/>
      <c r="F34" s="211"/>
      <c r="G34" s="104"/>
    </row>
    <row r="35" spans="1:7" s="131" customFormat="1">
      <c r="A35" s="130"/>
      <c r="B35" s="212" t="s">
        <v>50</v>
      </c>
      <c r="C35" s="212"/>
      <c r="D35" s="212"/>
      <c r="E35" s="212"/>
      <c r="F35" s="212"/>
      <c r="G35" s="130"/>
    </row>
    <row r="36" spans="1:7" ht="3" customHeight="1">
      <c r="A36" s="104"/>
      <c r="B36" s="106"/>
      <c r="C36" s="106"/>
      <c r="D36" s="106"/>
      <c r="E36" s="106"/>
      <c r="F36" s="106"/>
      <c r="G36" s="104"/>
    </row>
    <row r="37" spans="1:7" ht="21">
      <c r="A37" s="104"/>
      <c r="B37" s="111"/>
      <c r="C37" s="112" t="s">
        <v>51</v>
      </c>
      <c r="D37" s="112" t="s">
        <v>20</v>
      </c>
      <c r="E37" s="213" t="s">
        <v>52</v>
      </c>
      <c r="F37" s="214"/>
      <c r="G37" s="104"/>
    </row>
    <row r="38" spans="1:7" ht="16.5">
      <c r="A38" s="104"/>
      <c r="B38" s="111"/>
      <c r="C38" s="113" t="s">
        <v>53</v>
      </c>
      <c r="D38" s="114">
        <v>1</v>
      </c>
      <c r="E38" s="215" t="s">
        <v>54</v>
      </c>
      <c r="F38" s="216"/>
      <c r="G38" s="104"/>
    </row>
    <row r="39" spans="1:7">
      <c r="A39" s="104"/>
      <c r="B39" s="104"/>
      <c r="C39" s="104"/>
      <c r="D39" s="104"/>
      <c r="E39" s="104"/>
      <c r="F39" s="104"/>
      <c r="G39" s="104"/>
    </row>
    <row r="40" spans="1:7" ht="18.95">
      <c r="A40" s="104"/>
      <c r="B40" s="188" t="s">
        <v>55</v>
      </c>
      <c r="C40" s="189"/>
      <c r="D40" s="189"/>
      <c r="E40" s="189"/>
      <c r="F40" s="190"/>
      <c r="G40" s="104"/>
    </row>
    <row r="41" spans="1:7" s="131" customFormat="1">
      <c r="A41" s="130"/>
      <c r="B41" s="178" t="s">
        <v>56</v>
      </c>
      <c r="C41" s="178"/>
      <c r="D41" s="178"/>
      <c r="E41" s="178"/>
      <c r="F41" s="178"/>
      <c r="G41" s="130"/>
    </row>
    <row r="42" spans="1:7" ht="3" customHeight="1">
      <c r="A42" s="104"/>
      <c r="B42" s="106"/>
      <c r="C42" s="106"/>
      <c r="D42" s="106"/>
      <c r="E42" s="106"/>
      <c r="F42" s="106"/>
      <c r="G42" s="104"/>
    </row>
    <row r="43" spans="1:7" ht="20.100000000000001">
      <c r="A43" s="104"/>
      <c r="B43" s="104"/>
      <c r="C43" s="112" t="s">
        <v>51</v>
      </c>
      <c r="D43" s="112" t="s">
        <v>20</v>
      </c>
      <c r="E43" s="213" t="s">
        <v>52</v>
      </c>
      <c r="F43" s="214"/>
      <c r="G43" s="104"/>
    </row>
    <row r="44" spans="1:7" ht="16.5">
      <c r="A44" s="104"/>
      <c r="B44" s="104"/>
      <c r="C44" s="165" t="s">
        <v>57</v>
      </c>
      <c r="D44" s="140">
        <v>1</v>
      </c>
      <c r="E44" s="217" t="s">
        <v>54</v>
      </c>
      <c r="F44" s="218"/>
      <c r="G44" s="104"/>
    </row>
    <row r="45" spans="1:7" ht="18.95">
      <c r="A45" s="104"/>
      <c r="B45" s="104"/>
      <c r="C45" s="115"/>
      <c r="D45" s="112"/>
      <c r="E45" s="213"/>
      <c r="F45" s="214"/>
      <c r="G45" s="104"/>
    </row>
    <row r="46" spans="1:7">
      <c r="A46" s="104"/>
      <c r="B46" s="104"/>
      <c r="C46" s="104"/>
      <c r="D46" s="104"/>
      <c r="E46" s="104"/>
      <c r="F46" s="104"/>
      <c r="G46" s="104"/>
    </row>
    <row r="47" spans="1:7">
      <c r="A47" s="104"/>
      <c r="B47" s="104"/>
      <c r="C47" s="104"/>
      <c r="D47" s="104"/>
      <c r="E47" s="104"/>
      <c r="F47" s="104"/>
      <c r="G47" s="104"/>
    </row>
    <row r="48" spans="1:7">
      <c r="A48" s="104"/>
      <c r="B48" s="104"/>
      <c r="C48" s="104"/>
      <c r="D48" s="104"/>
      <c r="E48" s="104"/>
      <c r="F48" s="104"/>
      <c r="G48" s="104"/>
    </row>
    <row r="49" spans="1:7">
      <c r="A49" s="104"/>
      <c r="B49" s="104"/>
      <c r="C49" s="104"/>
      <c r="D49" s="104"/>
      <c r="E49" s="104"/>
      <c r="F49" s="104"/>
      <c r="G49" s="104"/>
    </row>
    <row r="50" spans="1:7">
      <c r="A50" s="104"/>
      <c r="B50" s="104"/>
      <c r="C50" s="104"/>
      <c r="D50" s="104"/>
      <c r="E50" s="104"/>
      <c r="F50" s="104"/>
      <c r="G50" s="104"/>
    </row>
    <row r="51" spans="1:7">
      <c r="A51" s="104"/>
      <c r="B51" s="104"/>
      <c r="C51" s="104"/>
      <c r="D51" s="104"/>
      <c r="E51" s="104"/>
      <c r="F51" s="104"/>
      <c r="G51" s="104"/>
    </row>
    <row r="52" spans="1:7">
      <c r="A52" s="104"/>
      <c r="B52" s="104"/>
      <c r="C52" s="104"/>
      <c r="D52" s="104"/>
      <c r="E52" s="104"/>
      <c r="F52" s="104"/>
      <c r="G52" s="104"/>
    </row>
    <row r="53" spans="1:7" s="116" customFormat="1" hidden="1"/>
    <row r="54" spans="1:7" s="116" customFormat="1" hidden="1"/>
    <row r="55" spans="1:7" s="116" customFormat="1" hidden="1"/>
    <row r="56" spans="1:7" s="116" customFormat="1" hidden="1"/>
    <row r="57" spans="1:7" s="116" customFormat="1" hidden="1"/>
    <row r="58" spans="1:7" s="116" customFormat="1" hidden="1"/>
  </sheetData>
  <mergeCells count="28">
    <mergeCell ref="E45:F45"/>
    <mergeCell ref="E38:F38"/>
    <mergeCell ref="B40:F40"/>
    <mergeCell ref="B41:F41"/>
    <mergeCell ref="E43:F43"/>
    <mergeCell ref="E44:F44"/>
    <mergeCell ref="D31:F31"/>
    <mergeCell ref="D32:F32"/>
    <mergeCell ref="B34:F34"/>
    <mergeCell ref="B35:F35"/>
    <mergeCell ref="E37:F37"/>
    <mergeCell ref="D24:F24"/>
    <mergeCell ref="D25:F25"/>
    <mergeCell ref="D26:F26"/>
    <mergeCell ref="B28:F28"/>
    <mergeCell ref="B29:F29"/>
    <mergeCell ref="B2:F2"/>
    <mergeCell ref="B3:F3"/>
    <mergeCell ref="C5:F6"/>
    <mergeCell ref="B8:F8"/>
    <mergeCell ref="B9:F9"/>
    <mergeCell ref="B21:F21"/>
    <mergeCell ref="D23:F23"/>
    <mergeCell ref="C11:F12"/>
    <mergeCell ref="B14:F14"/>
    <mergeCell ref="B15:F15"/>
    <mergeCell ref="C17:F18"/>
    <mergeCell ref="B20:F20"/>
  </mergeCells>
  <pageMargins left="0.75" right="0.75" top="1" bottom="1" header="0.5" footer="0.5"/>
  <pageSetup orientation="portrait" horizontalDpi="0" verticalDpi="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867F8-0BB0-4FE9-AD6D-E6B29CFDD000}">
  <dimension ref="A1:P90"/>
  <sheetViews>
    <sheetView topLeftCell="A94" zoomScale="62" workbookViewId="0">
      <selection activeCell="K80" sqref="K80"/>
    </sheetView>
  </sheetViews>
  <sheetFormatPr defaultColWidth="9.109375" defaultRowHeight="15"/>
  <cols>
    <col min="1" max="1" width="9.109375" style="104"/>
    <col min="2" max="2" width="14.5546875" style="135" bestFit="1" customWidth="1"/>
    <col min="3" max="3" width="12.5546875" style="135" customWidth="1"/>
    <col min="4" max="4" width="23.33203125" style="135" bestFit="1" customWidth="1"/>
    <col min="5" max="5" width="13.5546875" style="135" customWidth="1"/>
    <col min="6" max="6" width="16" style="135" customWidth="1"/>
    <col min="7" max="7" width="15.5546875" style="104" customWidth="1"/>
    <col min="8" max="8" width="14.109375" style="104" customWidth="1"/>
    <col min="9" max="9" width="12.6640625" style="104" customWidth="1"/>
    <col min="10" max="10" width="14.33203125" style="104" customWidth="1"/>
    <col min="11" max="12" width="9.109375" style="104"/>
    <col min="13" max="13" width="9.109375" style="135"/>
    <col min="14" max="23" width="10" style="104" customWidth="1"/>
    <col min="24" max="16384" width="9.109375" style="104"/>
  </cols>
  <sheetData>
    <row r="1" spans="1:16" ht="15.95" thickBot="1"/>
    <row r="2" spans="1:16" ht="17.25" customHeight="1">
      <c r="B2" s="228" t="s">
        <v>58</v>
      </c>
      <c r="C2" s="229"/>
      <c r="D2" s="229"/>
      <c r="E2" s="229"/>
      <c r="F2" s="229"/>
      <c r="G2" s="229"/>
      <c r="H2" s="229"/>
      <c r="I2" s="229"/>
      <c r="J2" s="229"/>
      <c r="K2" s="229"/>
      <c r="L2" s="229"/>
      <c r="M2" s="229"/>
      <c r="N2" s="230"/>
    </row>
    <row r="3" spans="1:16" ht="17.45" customHeight="1" thickBot="1">
      <c r="B3" s="231"/>
      <c r="C3" s="232"/>
      <c r="D3" s="232"/>
      <c r="E3" s="232"/>
      <c r="F3" s="232"/>
      <c r="G3" s="232"/>
      <c r="H3" s="232"/>
      <c r="I3" s="232"/>
      <c r="J3" s="232"/>
      <c r="K3" s="232"/>
      <c r="L3" s="232"/>
      <c r="M3" s="232"/>
      <c r="N3" s="233"/>
    </row>
    <row r="4" spans="1:16" ht="17.25" customHeight="1" thickBot="1">
      <c r="A4" s="136"/>
      <c r="B4" s="136"/>
      <c r="C4" s="136"/>
      <c r="D4" s="136"/>
      <c r="E4" s="136"/>
      <c r="F4" s="136"/>
      <c r="G4" s="136"/>
      <c r="H4" s="137"/>
      <c r="I4" s="136"/>
      <c r="J4" s="136"/>
      <c r="K4" s="136"/>
      <c r="L4" s="136"/>
      <c r="M4" s="136"/>
      <c r="N4" s="136"/>
      <c r="O4" s="138"/>
      <c r="P4" s="136"/>
    </row>
    <row r="5" spans="1:16" ht="31.7" customHeight="1" thickBot="1">
      <c r="D5" s="219" t="s">
        <v>59</v>
      </c>
      <c r="E5" s="220"/>
      <c r="F5" s="220"/>
      <c r="G5" s="220"/>
      <c r="H5" s="220"/>
      <c r="I5" s="220"/>
      <c r="J5" s="220"/>
      <c r="K5" s="220"/>
      <c r="L5" s="220"/>
      <c r="M5" s="221"/>
    </row>
    <row r="6" spans="1:16" ht="17.100000000000001" thickBot="1">
      <c r="D6" s="133" t="s">
        <v>60</v>
      </c>
      <c r="E6" s="134" t="s">
        <v>61</v>
      </c>
      <c r="F6" s="134" t="s">
        <v>62</v>
      </c>
      <c r="G6" s="134" t="s">
        <v>63</v>
      </c>
      <c r="H6" s="134" t="s">
        <v>64</v>
      </c>
      <c r="I6" s="134" t="s">
        <v>65</v>
      </c>
      <c r="J6" s="134" t="s">
        <v>66</v>
      </c>
      <c r="K6" s="134" t="s">
        <v>67</v>
      </c>
      <c r="L6" s="134" t="s">
        <v>68</v>
      </c>
      <c r="M6" s="134" t="s">
        <v>69</v>
      </c>
    </row>
    <row r="7" spans="1:16" ht="17.45" customHeight="1">
      <c r="D7" s="224" t="s">
        <v>70</v>
      </c>
      <c r="E7" s="222">
        <v>1</v>
      </c>
      <c r="F7" s="222">
        <v>5</v>
      </c>
      <c r="G7" s="222">
        <v>10</v>
      </c>
      <c r="H7" s="222">
        <v>23</v>
      </c>
      <c r="I7" s="222">
        <v>12</v>
      </c>
      <c r="J7" s="222">
        <v>9</v>
      </c>
      <c r="K7" s="222">
        <v>12</v>
      </c>
      <c r="L7" s="222">
        <v>11</v>
      </c>
      <c r="M7" s="222">
        <v>10</v>
      </c>
    </row>
    <row r="8" spans="1:16" ht="15.95" thickBot="1">
      <c r="D8" s="225"/>
      <c r="E8" s="223"/>
      <c r="F8" s="223"/>
      <c r="G8" s="223"/>
      <c r="H8" s="223"/>
      <c r="I8" s="223"/>
      <c r="J8" s="223"/>
      <c r="K8" s="223"/>
      <c r="L8" s="223"/>
      <c r="M8" s="223"/>
    </row>
    <row r="9" spans="1:16" ht="17.45" customHeight="1">
      <c r="D9" s="224" t="s">
        <v>71</v>
      </c>
      <c r="E9" s="222">
        <v>0</v>
      </c>
      <c r="F9" s="222">
        <v>3</v>
      </c>
      <c r="G9" s="222">
        <v>6</v>
      </c>
      <c r="H9" s="222">
        <v>17</v>
      </c>
      <c r="I9" s="222">
        <v>10</v>
      </c>
      <c r="J9" s="222">
        <v>8</v>
      </c>
      <c r="K9" s="222">
        <v>11</v>
      </c>
      <c r="L9" s="222">
        <v>3</v>
      </c>
      <c r="M9" s="222">
        <v>18</v>
      </c>
    </row>
    <row r="10" spans="1:16" ht="15.95" thickBot="1">
      <c r="D10" s="225"/>
      <c r="E10" s="223"/>
      <c r="F10" s="223"/>
      <c r="G10" s="223"/>
      <c r="H10" s="223"/>
      <c r="I10" s="223"/>
      <c r="J10" s="223"/>
      <c r="K10" s="223"/>
      <c r="L10" s="223"/>
      <c r="M10" s="223"/>
    </row>
    <row r="11" spans="1:16" ht="17.45" customHeight="1">
      <c r="D11" s="224" t="s">
        <v>72</v>
      </c>
      <c r="E11" s="222">
        <v>1</v>
      </c>
      <c r="F11" s="222">
        <v>6</v>
      </c>
      <c r="G11" s="222">
        <v>16</v>
      </c>
      <c r="H11" s="222">
        <v>39</v>
      </c>
      <c r="I11" s="222">
        <v>51</v>
      </c>
      <c r="J11" s="222">
        <v>60</v>
      </c>
      <c r="K11" s="222">
        <v>72</v>
      </c>
      <c r="L11" s="222">
        <v>83</v>
      </c>
      <c r="M11" s="222">
        <v>93</v>
      </c>
    </row>
    <row r="12" spans="1:16" ht="15.95" thickBot="1">
      <c r="D12" s="225"/>
      <c r="E12" s="223"/>
      <c r="F12" s="223"/>
      <c r="G12" s="223"/>
      <c r="H12" s="223"/>
      <c r="I12" s="223"/>
      <c r="J12" s="223"/>
      <c r="K12" s="223"/>
      <c r="L12" s="223"/>
      <c r="M12" s="223"/>
    </row>
    <row r="13" spans="1:16" ht="17.45" customHeight="1">
      <c r="D13" s="224" t="s">
        <v>73</v>
      </c>
      <c r="E13" s="222">
        <v>0</v>
      </c>
      <c r="F13" s="222">
        <v>3</v>
      </c>
      <c r="G13" s="222">
        <v>9</v>
      </c>
      <c r="H13" s="222">
        <v>26</v>
      </c>
      <c r="I13" s="222">
        <v>36</v>
      </c>
      <c r="J13" s="222">
        <v>44</v>
      </c>
      <c r="K13" s="222">
        <v>55</v>
      </c>
      <c r="L13" s="222">
        <v>58</v>
      </c>
      <c r="M13" s="222">
        <v>72</v>
      </c>
    </row>
    <row r="14" spans="1:16" ht="15.95" thickBot="1">
      <c r="D14" s="225"/>
      <c r="E14" s="223"/>
      <c r="F14" s="223"/>
      <c r="G14" s="223"/>
      <c r="H14" s="223"/>
      <c r="I14" s="223"/>
      <c r="J14" s="223"/>
      <c r="K14" s="223"/>
      <c r="L14" s="223"/>
      <c r="M14" s="223"/>
    </row>
    <row r="33" spans="4:13" ht="20.100000000000001" thickBot="1">
      <c r="D33" s="226" t="s">
        <v>74</v>
      </c>
      <c r="E33" s="226"/>
      <c r="F33" s="226"/>
      <c r="G33" s="226"/>
      <c r="H33" s="226"/>
      <c r="I33" s="226"/>
      <c r="J33" s="226"/>
      <c r="K33" s="226"/>
      <c r="L33" s="226"/>
      <c r="M33" s="226"/>
    </row>
    <row r="34" spans="4:13" ht="17.45" customHeight="1" thickBot="1">
      <c r="D34" s="133" t="s">
        <v>60</v>
      </c>
      <c r="E34" s="134" t="s">
        <v>61</v>
      </c>
      <c r="F34" s="134" t="s">
        <v>62</v>
      </c>
      <c r="G34" s="134" t="s">
        <v>63</v>
      </c>
      <c r="H34" s="134" t="s">
        <v>64</v>
      </c>
      <c r="I34" s="134" t="s">
        <v>65</v>
      </c>
      <c r="J34" s="134" t="s">
        <v>66</v>
      </c>
      <c r="K34" s="134" t="s">
        <v>67</v>
      </c>
      <c r="L34" s="134" t="s">
        <v>68</v>
      </c>
      <c r="M34" s="134" t="s">
        <v>69</v>
      </c>
    </row>
    <row r="35" spans="4:13">
      <c r="D35" s="224" t="s">
        <v>75</v>
      </c>
      <c r="E35" s="222">
        <v>1</v>
      </c>
      <c r="F35" s="222">
        <v>5</v>
      </c>
      <c r="G35" s="222">
        <v>10</v>
      </c>
      <c r="H35" s="222">
        <v>23</v>
      </c>
      <c r="I35" s="222">
        <v>12</v>
      </c>
      <c r="J35" s="222">
        <v>9</v>
      </c>
      <c r="K35" s="222">
        <v>12</v>
      </c>
      <c r="L35" s="222">
        <v>11</v>
      </c>
      <c r="M35" s="222">
        <v>10</v>
      </c>
    </row>
    <row r="36" spans="4:13" ht="15.95" thickBot="1">
      <c r="D36" s="225"/>
      <c r="E36" s="223"/>
      <c r="F36" s="223"/>
      <c r="G36" s="223"/>
      <c r="H36" s="223"/>
      <c r="I36" s="223"/>
      <c r="J36" s="223"/>
      <c r="K36" s="223"/>
      <c r="L36" s="223"/>
      <c r="M36" s="223"/>
    </row>
    <row r="37" spans="4:13">
      <c r="D37" s="224" t="s">
        <v>76</v>
      </c>
      <c r="E37" s="222">
        <v>0</v>
      </c>
      <c r="F37" s="222">
        <v>3</v>
      </c>
      <c r="G37" s="222">
        <v>6</v>
      </c>
      <c r="H37" s="222">
        <v>17</v>
      </c>
      <c r="I37" s="222">
        <v>10</v>
      </c>
      <c r="J37" s="222">
        <v>8</v>
      </c>
      <c r="K37" s="222">
        <v>11</v>
      </c>
      <c r="L37" s="222">
        <v>3</v>
      </c>
      <c r="M37" s="222">
        <v>18</v>
      </c>
    </row>
    <row r="38" spans="4:13" ht="15.95" thickBot="1">
      <c r="D38" s="225"/>
      <c r="E38" s="223"/>
      <c r="F38" s="223"/>
      <c r="G38" s="223"/>
      <c r="H38" s="223"/>
      <c r="I38" s="223"/>
      <c r="J38" s="223"/>
      <c r="K38" s="223"/>
      <c r="L38" s="223"/>
      <c r="M38" s="223"/>
    </row>
    <row r="39" spans="4:13">
      <c r="D39" s="224" t="s">
        <v>77</v>
      </c>
      <c r="E39" s="222">
        <v>1</v>
      </c>
      <c r="F39" s="222">
        <v>6</v>
      </c>
      <c r="G39" s="222">
        <v>20</v>
      </c>
      <c r="H39" s="222">
        <v>39</v>
      </c>
      <c r="I39" s="222">
        <v>51</v>
      </c>
      <c r="J39" s="222">
        <v>60</v>
      </c>
      <c r="K39" s="222">
        <v>72</v>
      </c>
      <c r="L39" s="222">
        <v>83</v>
      </c>
      <c r="M39" s="222">
        <v>93</v>
      </c>
    </row>
    <row r="40" spans="4:13" ht="15.95" thickBot="1">
      <c r="D40" s="225"/>
      <c r="E40" s="223"/>
      <c r="F40" s="223"/>
      <c r="G40" s="223"/>
      <c r="H40" s="223"/>
      <c r="I40" s="223"/>
      <c r="J40" s="223"/>
      <c r="K40" s="223"/>
      <c r="L40" s="223"/>
      <c r="M40" s="223"/>
    </row>
    <row r="41" spans="4:13">
      <c r="D41" s="224" t="s">
        <v>78</v>
      </c>
      <c r="E41" s="222">
        <v>0</v>
      </c>
      <c r="F41" s="222">
        <v>3</v>
      </c>
      <c r="G41" s="222">
        <v>9</v>
      </c>
      <c r="H41" s="222">
        <v>26</v>
      </c>
      <c r="I41" s="222">
        <v>36</v>
      </c>
      <c r="J41" s="222">
        <v>44</v>
      </c>
      <c r="K41" s="222">
        <v>55</v>
      </c>
      <c r="L41" s="222">
        <v>58</v>
      </c>
      <c r="M41" s="222">
        <v>82</v>
      </c>
    </row>
    <row r="42" spans="4:13" ht="15.95" thickBot="1">
      <c r="D42" s="225"/>
      <c r="E42" s="223"/>
      <c r="F42" s="223"/>
      <c r="G42" s="223"/>
      <c r="H42" s="223"/>
      <c r="I42" s="223"/>
      <c r="J42" s="223"/>
      <c r="K42" s="223"/>
      <c r="L42" s="223"/>
      <c r="M42" s="223"/>
    </row>
    <row r="52" spans="4:13" ht="16.350000000000001" customHeight="1"/>
    <row r="60" spans="4:13" ht="24.75" customHeight="1" thickBot="1">
      <c r="D60" s="227" t="s">
        <v>79</v>
      </c>
      <c r="E60" s="227"/>
      <c r="F60" s="227"/>
      <c r="G60" s="227"/>
      <c r="H60" s="227"/>
      <c r="I60" s="227"/>
      <c r="J60" s="227"/>
      <c r="K60" s="227"/>
      <c r="L60" s="227"/>
      <c r="M60" s="227"/>
    </row>
    <row r="61" spans="4:13" ht="17.100000000000001" thickBot="1">
      <c r="D61" s="133" t="s">
        <v>60</v>
      </c>
      <c r="E61" s="134" t="s">
        <v>61</v>
      </c>
      <c r="F61" s="134" t="s">
        <v>62</v>
      </c>
      <c r="G61" s="134" t="s">
        <v>63</v>
      </c>
      <c r="H61" s="134" t="s">
        <v>64</v>
      </c>
      <c r="I61" s="134" t="s">
        <v>65</v>
      </c>
      <c r="J61" s="134" t="s">
        <v>66</v>
      </c>
      <c r="K61" s="134" t="s">
        <v>67</v>
      </c>
      <c r="L61" s="134" t="s">
        <v>68</v>
      </c>
      <c r="M61" s="134" t="s">
        <v>69</v>
      </c>
    </row>
    <row r="62" spans="4:13">
      <c r="D62" s="224" t="s">
        <v>80</v>
      </c>
      <c r="E62" s="222">
        <v>1</v>
      </c>
      <c r="F62" s="222">
        <v>5</v>
      </c>
      <c r="G62" s="222">
        <v>10</v>
      </c>
      <c r="H62" s="222">
        <v>23</v>
      </c>
      <c r="I62" s="222">
        <v>12</v>
      </c>
      <c r="J62" s="222">
        <v>9</v>
      </c>
      <c r="K62" s="222">
        <v>12</v>
      </c>
      <c r="L62" s="222">
        <v>11</v>
      </c>
      <c r="M62" s="222">
        <v>9</v>
      </c>
    </row>
    <row r="63" spans="4:13" ht="15.95" thickBot="1">
      <c r="D63" s="225"/>
      <c r="E63" s="223"/>
      <c r="F63" s="223"/>
      <c r="G63" s="223"/>
      <c r="H63" s="223"/>
      <c r="I63" s="223"/>
      <c r="J63" s="223"/>
      <c r="K63" s="223"/>
      <c r="L63" s="223"/>
      <c r="M63" s="223"/>
    </row>
    <row r="64" spans="4:13">
      <c r="D64" s="224" t="s">
        <v>81</v>
      </c>
      <c r="E64" s="222">
        <v>0</v>
      </c>
      <c r="F64" s="222">
        <v>3</v>
      </c>
      <c r="G64" s="222">
        <v>6</v>
      </c>
      <c r="H64" s="222">
        <v>17</v>
      </c>
      <c r="I64" s="222">
        <v>10</v>
      </c>
      <c r="J64" s="222">
        <v>8</v>
      </c>
      <c r="K64" s="222">
        <v>11</v>
      </c>
      <c r="L64" s="222">
        <v>3</v>
      </c>
      <c r="M64" s="222">
        <v>15</v>
      </c>
    </row>
    <row r="65" spans="4:13" ht="15.95" thickBot="1">
      <c r="D65" s="225"/>
      <c r="E65" s="223"/>
      <c r="F65" s="223"/>
      <c r="G65" s="223"/>
      <c r="H65" s="223"/>
      <c r="I65" s="223"/>
      <c r="J65" s="223"/>
      <c r="K65" s="223"/>
      <c r="L65" s="223"/>
      <c r="M65" s="223"/>
    </row>
    <row r="66" spans="4:13">
      <c r="D66" s="224" t="s">
        <v>82</v>
      </c>
      <c r="E66" s="222">
        <v>1</v>
      </c>
      <c r="F66" s="222">
        <v>6</v>
      </c>
      <c r="G66" s="222">
        <v>20</v>
      </c>
      <c r="H66" s="222">
        <v>39</v>
      </c>
      <c r="I66" s="222">
        <v>51</v>
      </c>
      <c r="J66" s="222">
        <v>60</v>
      </c>
      <c r="K66" s="222">
        <v>72</v>
      </c>
      <c r="L66" s="222">
        <v>83</v>
      </c>
      <c r="M66" s="222">
        <v>85</v>
      </c>
    </row>
    <row r="67" spans="4:13" ht="15.95" thickBot="1">
      <c r="D67" s="225"/>
      <c r="E67" s="223"/>
      <c r="F67" s="223"/>
      <c r="G67" s="223"/>
      <c r="H67" s="223"/>
      <c r="I67" s="223"/>
      <c r="J67" s="223"/>
      <c r="K67" s="223"/>
      <c r="L67" s="223"/>
      <c r="M67" s="223"/>
    </row>
    <row r="68" spans="4:13">
      <c r="D68" s="224" t="s">
        <v>83</v>
      </c>
      <c r="E68" s="222">
        <v>0</v>
      </c>
      <c r="F68" s="222">
        <v>3</v>
      </c>
      <c r="G68" s="222">
        <v>9</v>
      </c>
      <c r="H68" s="222">
        <v>26</v>
      </c>
      <c r="I68" s="222">
        <v>36</v>
      </c>
      <c r="J68" s="222">
        <v>44</v>
      </c>
      <c r="K68" s="222">
        <v>55</v>
      </c>
      <c r="L68" s="222">
        <v>58</v>
      </c>
      <c r="M68" s="222">
        <v>80</v>
      </c>
    </row>
    <row r="69" spans="4:13" ht="15.95" thickBot="1">
      <c r="D69" s="225"/>
      <c r="E69" s="223"/>
      <c r="F69" s="223"/>
      <c r="G69" s="223"/>
      <c r="H69" s="223"/>
      <c r="I69" s="223"/>
      <c r="J69" s="223"/>
      <c r="K69" s="223"/>
      <c r="L69" s="223"/>
      <c r="M69" s="223"/>
    </row>
    <row r="90" spans="4:4"/>
  </sheetData>
  <mergeCells count="124">
    <mergeCell ref="B2:N3"/>
    <mergeCell ref="I68:I69"/>
    <mergeCell ref="J68:J69"/>
    <mergeCell ref="K68:K69"/>
    <mergeCell ref="L68:L69"/>
    <mergeCell ref="M68:M69"/>
    <mergeCell ref="D68:D69"/>
    <mergeCell ref="E68:E69"/>
    <mergeCell ref="F68:F69"/>
    <mergeCell ref="G68:G69"/>
    <mergeCell ref="H68:H69"/>
    <mergeCell ref="I66:I67"/>
    <mergeCell ref="J66:J67"/>
    <mergeCell ref="K66:K67"/>
    <mergeCell ref="L66:L67"/>
    <mergeCell ref="M66:M67"/>
    <mergeCell ref="D66:D67"/>
    <mergeCell ref="E66:E67"/>
    <mergeCell ref="F66:F67"/>
    <mergeCell ref="G66:G67"/>
    <mergeCell ref="H66:H67"/>
    <mergeCell ref="I64:I65"/>
    <mergeCell ref="J64:J65"/>
    <mergeCell ref="K64:K65"/>
    <mergeCell ref="L64:L65"/>
    <mergeCell ref="M64:M65"/>
    <mergeCell ref="D64:D65"/>
    <mergeCell ref="E64:E65"/>
    <mergeCell ref="F64:F65"/>
    <mergeCell ref="G64:G65"/>
    <mergeCell ref="H64:H65"/>
    <mergeCell ref="K41:K42"/>
    <mergeCell ref="L41:L42"/>
    <mergeCell ref="M41:M42"/>
    <mergeCell ref="D60:M60"/>
    <mergeCell ref="D62:D63"/>
    <mergeCell ref="E62:E63"/>
    <mergeCell ref="F62:F63"/>
    <mergeCell ref="G62:G63"/>
    <mergeCell ref="H62:H63"/>
    <mergeCell ref="I62:I63"/>
    <mergeCell ref="J62:J63"/>
    <mergeCell ref="K62:K63"/>
    <mergeCell ref="L62:L63"/>
    <mergeCell ref="M62:M63"/>
    <mergeCell ref="F41:F42"/>
    <mergeCell ref="G41:G42"/>
    <mergeCell ref="H41:H42"/>
    <mergeCell ref="I41:I42"/>
    <mergeCell ref="J41:J42"/>
    <mergeCell ref="D41:D42"/>
    <mergeCell ref="E41:E42"/>
    <mergeCell ref="K37:K38"/>
    <mergeCell ref="L37:L38"/>
    <mergeCell ref="M37:M38"/>
    <mergeCell ref="D39:D40"/>
    <mergeCell ref="E39:E40"/>
    <mergeCell ref="F39:F40"/>
    <mergeCell ref="G39:G40"/>
    <mergeCell ref="H39:H40"/>
    <mergeCell ref="I39:I40"/>
    <mergeCell ref="J39:J40"/>
    <mergeCell ref="K39:K40"/>
    <mergeCell ref="L39:L40"/>
    <mergeCell ref="M39:M40"/>
    <mergeCell ref="F37:F38"/>
    <mergeCell ref="G37:G38"/>
    <mergeCell ref="H37:H38"/>
    <mergeCell ref="I37:I38"/>
    <mergeCell ref="J37:J38"/>
    <mergeCell ref="D37:D38"/>
    <mergeCell ref="E37:E38"/>
    <mergeCell ref="D33:M33"/>
    <mergeCell ref="D35:D36"/>
    <mergeCell ref="E35:E36"/>
    <mergeCell ref="F35:F36"/>
    <mergeCell ref="G35:G36"/>
    <mergeCell ref="H35:H36"/>
    <mergeCell ref="I35:I36"/>
    <mergeCell ref="J35:J36"/>
    <mergeCell ref="K35:K36"/>
    <mergeCell ref="L35:L36"/>
    <mergeCell ref="M35:M36"/>
    <mergeCell ref="G13:G14"/>
    <mergeCell ref="H7:H8"/>
    <mergeCell ref="H9:H10"/>
    <mergeCell ref="H11:H12"/>
    <mergeCell ref="H13:H14"/>
    <mergeCell ref="K11:K12"/>
    <mergeCell ref="L11:L12"/>
    <mergeCell ref="M11:M12"/>
    <mergeCell ref="K13:K14"/>
    <mergeCell ref="L13:L14"/>
    <mergeCell ref="M13:M14"/>
    <mergeCell ref="K7:K8"/>
    <mergeCell ref="K9:K10"/>
    <mergeCell ref="L7:L8"/>
    <mergeCell ref="M7:M8"/>
    <mergeCell ref="M9:M10"/>
    <mergeCell ref="L9:L10"/>
    <mergeCell ref="D5:M5"/>
    <mergeCell ref="I7:I8"/>
    <mergeCell ref="I9:I10"/>
    <mergeCell ref="I11:I12"/>
    <mergeCell ref="I13:I14"/>
    <mergeCell ref="J7:J8"/>
    <mergeCell ref="J9:J10"/>
    <mergeCell ref="J11:J12"/>
    <mergeCell ref="J13:J14"/>
    <mergeCell ref="G7:G8"/>
    <mergeCell ref="G9:G10"/>
    <mergeCell ref="D7:D8"/>
    <mergeCell ref="D9:D10"/>
    <mergeCell ref="D11:D12"/>
    <mergeCell ref="D13:D14"/>
    <mergeCell ref="E7:E8"/>
    <mergeCell ref="E13:E14"/>
    <mergeCell ref="E11:E12"/>
    <mergeCell ref="E9:E10"/>
    <mergeCell ref="F7:F8"/>
    <mergeCell ref="F9:F10"/>
    <mergeCell ref="F11:F12"/>
    <mergeCell ref="F13:F14"/>
    <mergeCell ref="G11:G12"/>
  </mergeCells>
  <phoneticPr fontId="38" type="noConversion"/>
  <pageMargins left="0.7" right="0.7" top="0.75" bottom="0.75" header="0.3" footer="0.3"/>
  <pageSetup orientation="portrait" horizontalDpi="0" verticalDpi="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4CFE9-7779-42CA-A246-2268F90D5DC5}">
  <dimension ref="A1:F13"/>
  <sheetViews>
    <sheetView tabSelected="1" workbookViewId="0">
      <selection activeCell="C3" sqref="C3"/>
    </sheetView>
  </sheetViews>
  <sheetFormatPr defaultColWidth="0" defaultRowHeight="15"/>
  <cols>
    <col min="1" max="1" width="0.5546875" style="104" customWidth="1"/>
    <col min="2" max="3" width="12.6640625" style="104" customWidth="1"/>
    <col min="4" max="4" width="17" style="104" bestFit="1" customWidth="1"/>
    <col min="5" max="5" width="21.44140625" style="104" customWidth="1"/>
    <col min="6" max="6" width="6.6640625" style="104" customWidth="1"/>
    <col min="7" max="16384" width="6.6640625" style="104" hidden="1"/>
  </cols>
  <sheetData>
    <row r="1" spans="2:5" ht="15.95" thickBot="1"/>
    <row r="2" spans="2:5" s="126" customFormat="1" ht="18.95">
      <c r="B2" s="234" t="s">
        <v>84</v>
      </c>
      <c r="C2" s="235"/>
      <c r="D2" s="235"/>
      <c r="E2" s="236"/>
    </row>
    <row r="3" spans="2:5" s="126" customFormat="1" ht="18.95">
      <c r="B3" s="127" t="s">
        <v>13</v>
      </c>
      <c r="C3" s="128" t="s">
        <v>85</v>
      </c>
      <c r="D3" s="128" t="s">
        <v>86</v>
      </c>
      <c r="E3" s="129" t="s">
        <v>87</v>
      </c>
    </row>
    <row r="4" spans="2:5">
      <c r="B4" s="132">
        <v>45239</v>
      </c>
      <c r="C4" s="117" t="s">
        <v>88</v>
      </c>
      <c r="D4" s="118" t="s">
        <v>89</v>
      </c>
      <c r="E4" s="119" t="s">
        <v>90</v>
      </c>
    </row>
    <row r="5" spans="2:5" ht="16.5">
      <c r="B5" s="243">
        <v>45397</v>
      </c>
      <c r="C5" s="244">
        <v>1.1000000000000001</v>
      </c>
      <c r="D5" s="244" t="s">
        <v>91</v>
      </c>
      <c r="E5" s="245" t="s">
        <v>92</v>
      </c>
    </row>
    <row r="6" spans="2:5">
      <c r="B6" s="132"/>
      <c r="C6" s="117"/>
      <c r="D6" s="118"/>
      <c r="E6" s="120"/>
    </row>
    <row r="7" spans="2:5">
      <c r="B7" s="132"/>
      <c r="C7" s="117"/>
      <c r="D7" s="118"/>
      <c r="E7" s="120"/>
    </row>
    <row r="8" spans="2:5">
      <c r="B8" s="132"/>
      <c r="C8" s="117"/>
      <c r="D8" s="118"/>
      <c r="E8" s="120"/>
    </row>
    <row r="9" spans="2:5">
      <c r="B9" s="132"/>
      <c r="C9" s="117"/>
      <c r="D9" s="118"/>
      <c r="E9" s="120"/>
    </row>
    <row r="10" spans="2:5">
      <c r="B10" s="132"/>
      <c r="C10" s="117"/>
      <c r="D10" s="118"/>
      <c r="E10" s="120"/>
    </row>
    <row r="11" spans="2:5">
      <c r="B11" s="132"/>
      <c r="C11" s="121"/>
      <c r="D11" s="122"/>
      <c r="E11" s="120"/>
    </row>
    <row r="12" spans="2:5">
      <c r="B12" s="132"/>
      <c r="C12" s="121"/>
      <c r="D12" s="122"/>
      <c r="E12" s="120"/>
    </row>
    <row r="13" spans="2:5" ht="15.95" thickBot="1">
      <c r="B13" s="132"/>
      <c r="C13" s="123"/>
      <c r="D13" s="124"/>
      <c r="E13" s="125" t="s">
        <v>27</v>
      </c>
    </row>
  </sheetData>
  <mergeCells count="1">
    <mergeCell ref="B2:E2"/>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2:W105"/>
  <sheetViews>
    <sheetView topLeftCell="L28" zoomScale="90" zoomScaleNormal="90" workbookViewId="0">
      <selection activeCell="N52" sqref="N52"/>
    </sheetView>
  </sheetViews>
  <sheetFormatPr defaultColWidth="8.6640625" defaultRowHeight="15" customHeight="1"/>
  <cols>
    <col min="1" max="1" width="19.5546875" style="2" bestFit="1" customWidth="1"/>
    <col min="2" max="2" width="8.6640625" style="2"/>
    <col min="3" max="3" width="23.44140625" style="2" bestFit="1" customWidth="1"/>
    <col min="4" max="4" width="8.6640625" style="2"/>
    <col min="5" max="5" width="22" style="2" bestFit="1" customWidth="1"/>
    <col min="6" max="6" width="19.5546875" style="2" bestFit="1" customWidth="1"/>
    <col min="7" max="7" width="16.33203125" style="2" bestFit="1" customWidth="1"/>
    <col min="8" max="12" width="8.6640625" style="2"/>
    <col min="13" max="13" width="13" style="2" customWidth="1"/>
    <col min="14" max="14" width="22.33203125" style="2" customWidth="1"/>
    <col min="15" max="15" width="22.6640625" style="2" customWidth="1"/>
    <col min="16" max="16" width="11" style="2" customWidth="1"/>
    <col min="17" max="17" width="14.6640625" style="2" customWidth="1"/>
    <col min="18" max="18" width="11.44140625" style="2" customWidth="1"/>
    <col min="19" max="19" width="19.6640625" style="2" customWidth="1"/>
    <col min="20" max="20" width="16.5546875" style="2" bestFit="1" customWidth="1"/>
    <col min="21" max="16384" width="8.6640625" style="2"/>
  </cols>
  <sheetData>
    <row r="2" spans="1:23" ht="15" customHeight="1">
      <c r="A2" s="8" t="s">
        <v>93</v>
      </c>
      <c r="B2" s="9" t="s">
        <v>93</v>
      </c>
      <c r="C2" s="10" t="s">
        <v>94</v>
      </c>
      <c r="D2" s="2" t="s">
        <v>95</v>
      </c>
      <c r="E2" s="2" t="s">
        <v>96</v>
      </c>
      <c r="F2" s="2" t="s">
        <v>97</v>
      </c>
      <c r="G2" s="2" t="s">
        <v>98</v>
      </c>
      <c r="I2" s="2" t="s">
        <v>99</v>
      </c>
      <c r="J2" s="2" t="s">
        <v>94</v>
      </c>
      <c r="L2" s="3" t="s">
        <v>95</v>
      </c>
      <c r="M2" s="4" t="s">
        <v>100</v>
      </c>
      <c r="N2" s="5" t="s">
        <v>101</v>
      </c>
      <c r="O2" s="5" t="s">
        <v>102</v>
      </c>
      <c r="P2" s="5" t="s">
        <v>103</v>
      </c>
      <c r="Q2" s="5" t="s">
        <v>104</v>
      </c>
      <c r="R2" s="5" t="s">
        <v>105</v>
      </c>
      <c r="S2" s="5" t="s">
        <v>106</v>
      </c>
      <c r="T2" s="5" t="s">
        <v>107</v>
      </c>
      <c r="U2" s="11" t="s">
        <v>108</v>
      </c>
    </row>
    <row r="3" spans="1:23" s="65" customFormat="1" ht="15" customHeight="1">
      <c r="A3" s="62" t="s">
        <v>109</v>
      </c>
      <c r="B3" s="63" t="s">
        <v>109</v>
      </c>
      <c r="C3" s="64" t="s">
        <v>110</v>
      </c>
      <c r="D3" s="65" t="s">
        <v>96</v>
      </c>
      <c r="E3" s="64" t="s">
        <v>111</v>
      </c>
      <c r="F3" s="62" t="s">
        <v>112</v>
      </c>
      <c r="G3" s="6" t="s">
        <v>113</v>
      </c>
      <c r="I3" s="65" t="s">
        <v>114</v>
      </c>
      <c r="J3" s="65" t="s">
        <v>110</v>
      </c>
      <c r="L3" s="63" t="s">
        <v>96</v>
      </c>
      <c r="M3" s="62" t="s">
        <v>111</v>
      </c>
      <c r="N3" s="6" t="s">
        <v>115</v>
      </c>
      <c r="O3" s="6" t="s">
        <v>116</v>
      </c>
      <c r="P3" s="6" t="s">
        <v>117</v>
      </c>
      <c r="Q3" s="6" t="s">
        <v>118</v>
      </c>
      <c r="R3" s="66" t="s">
        <v>119</v>
      </c>
      <c r="S3" s="67" t="s">
        <v>120</v>
      </c>
      <c r="T3" s="67" t="s">
        <v>121</v>
      </c>
      <c r="U3" s="68" t="s">
        <v>122</v>
      </c>
    </row>
    <row r="4" spans="1:23" s="65" customFormat="1" ht="15" customHeight="1">
      <c r="A4" s="62" t="s">
        <v>123</v>
      </c>
      <c r="B4" s="63" t="s">
        <v>109</v>
      </c>
      <c r="C4" s="64" t="s">
        <v>124</v>
      </c>
      <c r="D4" s="65" t="s">
        <v>97</v>
      </c>
      <c r="E4" s="64" t="s">
        <v>125</v>
      </c>
      <c r="F4" s="89" t="s">
        <v>126</v>
      </c>
      <c r="G4" s="6" t="s">
        <v>127</v>
      </c>
      <c r="I4" s="65" t="s">
        <v>128</v>
      </c>
      <c r="J4" s="65" t="s">
        <v>124</v>
      </c>
      <c r="L4" s="63" t="s">
        <v>96</v>
      </c>
      <c r="M4" s="62" t="s">
        <v>111</v>
      </c>
      <c r="N4" s="6" t="s">
        <v>129</v>
      </c>
      <c r="O4" s="6" t="s">
        <v>130</v>
      </c>
      <c r="P4" s="6" t="s">
        <v>131</v>
      </c>
      <c r="Q4" s="6" t="s">
        <v>132</v>
      </c>
      <c r="R4" s="66" t="s">
        <v>119</v>
      </c>
      <c r="S4" s="67" t="s">
        <v>120</v>
      </c>
      <c r="T4" s="6" t="s">
        <v>133</v>
      </c>
      <c r="U4" s="13" t="s">
        <v>134</v>
      </c>
    </row>
    <row r="5" spans="1:23" ht="15" customHeight="1">
      <c r="A5" s="62" t="s">
        <v>135</v>
      </c>
      <c r="B5" s="63" t="s">
        <v>109</v>
      </c>
      <c r="C5" s="64" t="s">
        <v>136</v>
      </c>
      <c r="D5" s="65" t="s">
        <v>98</v>
      </c>
      <c r="E5" s="64" t="s">
        <v>137</v>
      </c>
      <c r="F5" s="62" t="s">
        <v>138</v>
      </c>
      <c r="G5" s="6" t="s">
        <v>139</v>
      </c>
      <c r="H5" s="65"/>
      <c r="I5" s="65" t="s">
        <v>140</v>
      </c>
      <c r="J5" s="65" t="s">
        <v>136</v>
      </c>
      <c r="K5" s="65"/>
      <c r="L5" s="63" t="s">
        <v>96</v>
      </c>
      <c r="M5" s="62" t="s">
        <v>111</v>
      </c>
      <c r="N5" s="6" t="s">
        <v>141</v>
      </c>
      <c r="O5" s="6" t="s">
        <v>142</v>
      </c>
      <c r="P5" s="6" t="s">
        <v>131</v>
      </c>
      <c r="Q5" s="6" t="s">
        <v>132</v>
      </c>
      <c r="R5" s="66" t="s">
        <v>119</v>
      </c>
      <c r="S5" s="67" t="s">
        <v>120</v>
      </c>
      <c r="T5" s="6" t="s">
        <v>133</v>
      </c>
      <c r="U5" s="13" t="s">
        <v>143</v>
      </c>
    </row>
    <row r="6" spans="1:23" ht="15" customHeight="1">
      <c r="A6" s="62" t="s">
        <v>144</v>
      </c>
      <c r="B6" s="63" t="s">
        <v>109</v>
      </c>
      <c r="C6" s="64" t="s">
        <v>145</v>
      </c>
      <c r="D6" s="65"/>
      <c r="E6" s="64" t="s">
        <v>146</v>
      </c>
      <c r="F6" s="62" t="s">
        <v>147</v>
      </c>
      <c r="G6" s="6" t="s">
        <v>148</v>
      </c>
      <c r="H6" s="65"/>
      <c r="I6" s="65" t="s">
        <v>149</v>
      </c>
      <c r="J6" s="65" t="s">
        <v>145</v>
      </c>
      <c r="K6" s="65"/>
      <c r="L6" s="63" t="s">
        <v>96</v>
      </c>
      <c r="M6" s="62" t="s">
        <v>111</v>
      </c>
      <c r="N6" s="6" t="s">
        <v>150</v>
      </c>
      <c r="O6" s="6" t="s">
        <v>151</v>
      </c>
      <c r="P6" s="6" t="s">
        <v>117</v>
      </c>
      <c r="Q6" s="6" t="s">
        <v>118</v>
      </c>
      <c r="R6" s="66" t="s">
        <v>119</v>
      </c>
      <c r="S6" s="67" t="s">
        <v>120</v>
      </c>
      <c r="T6" s="6" t="s">
        <v>133</v>
      </c>
      <c r="U6" s="13" t="s">
        <v>152</v>
      </c>
    </row>
    <row r="7" spans="1:23" ht="15" customHeight="1">
      <c r="A7" s="62" t="s">
        <v>153</v>
      </c>
      <c r="B7" s="63" t="s">
        <v>109</v>
      </c>
      <c r="C7" s="64" t="s">
        <v>154</v>
      </c>
      <c r="D7" s="65"/>
      <c r="E7" s="64" t="s">
        <v>155</v>
      </c>
      <c r="F7" s="62" t="s">
        <v>156</v>
      </c>
      <c r="G7" s="6" t="s">
        <v>157</v>
      </c>
      <c r="H7" s="65"/>
      <c r="I7" s="65" t="s">
        <v>158</v>
      </c>
      <c r="J7" s="65" t="s">
        <v>154</v>
      </c>
      <c r="K7" s="65"/>
      <c r="L7" s="63" t="s">
        <v>96</v>
      </c>
      <c r="M7" s="62" t="s">
        <v>111</v>
      </c>
      <c r="N7" s="6" t="s">
        <v>159</v>
      </c>
      <c r="O7" s="6" t="s">
        <v>160</v>
      </c>
      <c r="P7" s="6" t="s">
        <v>131</v>
      </c>
      <c r="Q7" s="6" t="s">
        <v>132</v>
      </c>
      <c r="R7" s="66" t="s">
        <v>119</v>
      </c>
      <c r="S7" s="67" t="s">
        <v>120</v>
      </c>
      <c r="T7" s="6" t="s">
        <v>133</v>
      </c>
      <c r="U7" s="13" t="s">
        <v>161</v>
      </c>
      <c r="W7" s="12"/>
    </row>
    <row r="8" spans="1:23" ht="15" customHeight="1">
      <c r="A8" s="62" t="s">
        <v>162</v>
      </c>
      <c r="B8" s="63" t="s">
        <v>123</v>
      </c>
      <c r="C8" s="64" t="s">
        <v>110</v>
      </c>
      <c r="D8" s="65"/>
      <c r="E8" s="65"/>
      <c r="F8" s="62" t="s">
        <v>163</v>
      </c>
      <c r="G8" s="6" t="s">
        <v>155</v>
      </c>
      <c r="H8" s="65"/>
      <c r="I8" s="65" t="s">
        <v>164</v>
      </c>
      <c r="J8" s="65" t="s">
        <v>165</v>
      </c>
      <c r="K8" s="65"/>
      <c r="L8" s="63" t="s">
        <v>96</v>
      </c>
      <c r="M8" s="62" t="s">
        <v>111</v>
      </c>
      <c r="N8" s="6" t="s">
        <v>166</v>
      </c>
      <c r="O8" s="6" t="s">
        <v>167</v>
      </c>
      <c r="P8" s="6" t="s">
        <v>117</v>
      </c>
      <c r="Q8" s="6" t="s">
        <v>118</v>
      </c>
      <c r="R8" s="66" t="s">
        <v>119</v>
      </c>
      <c r="S8" s="67" t="s">
        <v>120</v>
      </c>
      <c r="T8" s="6" t="s">
        <v>133</v>
      </c>
      <c r="U8" s="13" t="s">
        <v>168</v>
      </c>
    </row>
    <row r="9" spans="1:23" ht="15" customHeight="1">
      <c r="A9" s="62" t="s">
        <v>169</v>
      </c>
      <c r="B9" s="63" t="s">
        <v>123</v>
      </c>
      <c r="C9" s="64" t="s">
        <v>124</v>
      </c>
      <c r="D9" s="65"/>
      <c r="E9" s="65"/>
      <c r="F9" s="62" t="s">
        <v>170</v>
      </c>
      <c r="G9" s="6" t="s">
        <v>171</v>
      </c>
      <c r="H9" s="65"/>
      <c r="I9" s="65" t="s">
        <v>172</v>
      </c>
      <c r="J9" s="65" t="s">
        <v>173</v>
      </c>
      <c r="K9" s="65"/>
      <c r="L9" s="63" t="s">
        <v>96</v>
      </c>
      <c r="M9" s="62" t="s">
        <v>111</v>
      </c>
      <c r="N9" s="6" t="s">
        <v>174</v>
      </c>
      <c r="O9" s="6" t="s">
        <v>175</v>
      </c>
      <c r="P9" s="6" t="s">
        <v>117</v>
      </c>
      <c r="Q9" s="6" t="s">
        <v>118</v>
      </c>
      <c r="R9" s="66" t="s">
        <v>119</v>
      </c>
      <c r="S9" s="67" t="s">
        <v>120</v>
      </c>
      <c r="T9" s="6" t="s">
        <v>176</v>
      </c>
      <c r="U9" s="68" t="s">
        <v>177</v>
      </c>
    </row>
    <row r="10" spans="1:23" ht="15" customHeight="1">
      <c r="A10" s="62" t="s">
        <v>178</v>
      </c>
      <c r="B10" s="63" t="s">
        <v>123</v>
      </c>
      <c r="C10" s="64" t="s">
        <v>136</v>
      </c>
      <c r="D10" s="65"/>
      <c r="E10" s="65"/>
      <c r="F10" s="62" t="s">
        <v>179</v>
      </c>
      <c r="G10" s="6"/>
      <c r="H10" s="65"/>
      <c r="I10" s="65" t="s">
        <v>180</v>
      </c>
      <c r="J10" s="65" t="s">
        <v>181</v>
      </c>
      <c r="K10" s="65"/>
      <c r="L10" s="63" t="s">
        <v>96</v>
      </c>
      <c r="M10" s="62" t="s">
        <v>125</v>
      </c>
      <c r="N10" s="62" t="s">
        <v>182</v>
      </c>
      <c r="O10" s="6" t="s">
        <v>183</v>
      </c>
      <c r="P10" s="6" t="s">
        <v>131</v>
      </c>
      <c r="Q10" s="6" t="s">
        <v>132</v>
      </c>
      <c r="R10" s="66" t="s">
        <v>119</v>
      </c>
      <c r="S10" s="67" t="s">
        <v>120</v>
      </c>
      <c r="T10" s="6" t="s">
        <v>176</v>
      </c>
      <c r="U10" s="13" t="s">
        <v>184</v>
      </c>
      <c r="W10" s="12"/>
    </row>
    <row r="11" spans="1:23" ht="15" customHeight="1">
      <c r="A11" s="62"/>
      <c r="B11" s="63" t="s">
        <v>123</v>
      </c>
      <c r="C11" s="64" t="s">
        <v>145</v>
      </c>
      <c r="D11" s="65"/>
      <c r="E11" s="65"/>
      <c r="F11" s="62" t="s">
        <v>185</v>
      </c>
      <c r="G11" s="6"/>
      <c r="H11" s="65"/>
      <c r="I11" s="65" t="s">
        <v>186</v>
      </c>
      <c r="J11" s="65"/>
      <c r="K11" s="65"/>
      <c r="L11" s="63" t="s">
        <v>96</v>
      </c>
      <c r="M11" s="62" t="s">
        <v>125</v>
      </c>
      <c r="N11" s="62" t="s">
        <v>187</v>
      </c>
      <c r="O11" s="6" t="s">
        <v>188</v>
      </c>
      <c r="P11" s="6" t="s">
        <v>117</v>
      </c>
      <c r="Q11" s="6" t="s">
        <v>118</v>
      </c>
      <c r="R11" s="66" t="s">
        <v>119</v>
      </c>
      <c r="S11" s="67" t="s">
        <v>120</v>
      </c>
      <c r="T11" s="6" t="s">
        <v>176</v>
      </c>
      <c r="U11" s="13" t="s">
        <v>189</v>
      </c>
    </row>
    <row r="12" spans="1:23" ht="15" customHeight="1">
      <c r="A12" s="65"/>
      <c r="B12" s="63" t="s">
        <v>123</v>
      </c>
      <c r="C12" s="64" t="s">
        <v>154</v>
      </c>
      <c r="D12" s="65"/>
      <c r="E12" s="65"/>
      <c r="F12" s="62" t="s">
        <v>190</v>
      </c>
      <c r="G12" s="6"/>
      <c r="H12" s="65"/>
      <c r="I12" s="65" t="s">
        <v>191</v>
      </c>
      <c r="J12" s="65"/>
      <c r="K12" s="65"/>
      <c r="L12" s="63" t="s">
        <v>96</v>
      </c>
      <c r="M12" s="62" t="s">
        <v>137</v>
      </c>
      <c r="N12" s="6" t="s">
        <v>192</v>
      </c>
      <c r="O12" s="6" t="s">
        <v>193</v>
      </c>
      <c r="P12" s="6" t="s">
        <v>117</v>
      </c>
      <c r="Q12" s="6" t="s">
        <v>118</v>
      </c>
      <c r="R12" s="13" t="s">
        <v>194</v>
      </c>
      <c r="S12" s="13" t="s">
        <v>195</v>
      </c>
      <c r="T12" s="6" t="s">
        <v>133</v>
      </c>
      <c r="U12" s="13" t="s">
        <v>196</v>
      </c>
    </row>
    <row r="13" spans="1:23" ht="15" customHeight="1">
      <c r="A13" s="65"/>
      <c r="B13" s="63" t="s">
        <v>135</v>
      </c>
      <c r="C13" s="64" t="s">
        <v>154</v>
      </c>
      <c r="D13" s="65"/>
      <c r="E13" s="65"/>
      <c r="F13" s="62" t="s">
        <v>197</v>
      </c>
      <c r="G13" s="65"/>
      <c r="H13" s="65"/>
      <c r="I13" s="65" t="s">
        <v>198</v>
      </c>
      <c r="J13" s="65"/>
      <c r="K13" s="65"/>
      <c r="L13" s="63" t="s">
        <v>96</v>
      </c>
      <c r="M13" s="62" t="s">
        <v>137</v>
      </c>
      <c r="N13" s="6" t="s">
        <v>199</v>
      </c>
      <c r="O13" s="6" t="s">
        <v>200</v>
      </c>
      <c r="P13" s="6" t="s">
        <v>131</v>
      </c>
      <c r="Q13" s="6" t="s">
        <v>201</v>
      </c>
      <c r="R13" s="6" t="s">
        <v>202</v>
      </c>
      <c r="S13" s="13" t="s">
        <v>195</v>
      </c>
      <c r="T13" s="6" t="s">
        <v>133</v>
      </c>
      <c r="U13" s="6" t="s">
        <v>203</v>
      </c>
    </row>
    <row r="14" spans="1:23" ht="15" customHeight="1">
      <c r="A14" s="65"/>
      <c r="B14" s="63" t="s">
        <v>135</v>
      </c>
      <c r="C14" s="64" t="s">
        <v>165</v>
      </c>
      <c r="D14" s="65"/>
      <c r="E14" s="65"/>
      <c r="F14" s="89" t="s">
        <v>204</v>
      </c>
      <c r="G14" s="65"/>
      <c r="H14" s="65"/>
      <c r="I14" s="65" t="s">
        <v>205</v>
      </c>
      <c r="J14" s="65"/>
      <c r="K14" s="65"/>
      <c r="L14" s="63" t="s">
        <v>96</v>
      </c>
      <c r="M14" s="62" t="s">
        <v>137</v>
      </c>
      <c r="N14" s="6" t="s">
        <v>206</v>
      </c>
      <c r="O14" s="6" t="s">
        <v>194</v>
      </c>
      <c r="P14" s="6" t="s">
        <v>117</v>
      </c>
      <c r="Q14" s="6" t="s">
        <v>118</v>
      </c>
      <c r="R14" s="69" t="s">
        <v>194</v>
      </c>
      <c r="S14" s="13" t="s">
        <v>195</v>
      </c>
      <c r="T14" s="6" t="s">
        <v>133</v>
      </c>
      <c r="U14" s="13" t="s">
        <v>207</v>
      </c>
    </row>
    <row r="15" spans="1:23" ht="15" customHeight="1">
      <c r="A15" s="65"/>
      <c r="B15" s="63" t="s">
        <v>135</v>
      </c>
      <c r="C15" s="64" t="s">
        <v>173</v>
      </c>
      <c r="D15" s="65"/>
      <c r="E15" s="65"/>
      <c r="G15" s="65"/>
      <c r="H15" s="65"/>
      <c r="I15" s="65" t="s">
        <v>208</v>
      </c>
      <c r="J15" s="65"/>
      <c r="K15" s="65"/>
      <c r="L15" s="63" t="s">
        <v>96</v>
      </c>
      <c r="M15" s="62" t="s">
        <v>137</v>
      </c>
      <c r="N15" s="6" t="s">
        <v>209</v>
      </c>
      <c r="O15" s="6" t="s">
        <v>194</v>
      </c>
      <c r="P15" s="6" t="s">
        <v>117</v>
      </c>
      <c r="Q15" s="6" t="s">
        <v>118</v>
      </c>
      <c r="R15" s="6" t="s">
        <v>194</v>
      </c>
      <c r="S15" s="13" t="s">
        <v>195</v>
      </c>
      <c r="T15" s="6" t="s">
        <v>133</v>
      </c>
      <c r="U15" s="13" t="s">
        <v>210</v>
      </c>
    </row>
    <row r="16" spans="1:23" ht="15" customHeight="1">
      <c r="A16" s="65"/>
      <c r="B16" s="63" t="s">
        <v>135</v>
      </c>
      <c r="C16" s="64" t="s">
        <v>181</v>
      </c>
      <c r="D16" s="65"/>
      <c r="E16" s="65"/>
      <c r="G16" s="65"/>
      <c r="H16" s="65"/>
      <c r="I16" s="65" t="s">
        <v>211</v>
      </c>
      <c r="J16" s="65"/>
      <c r="K16" s="65"/>
      <c r="L16" s="63" t="s">
        <v>96</v>
      </c>
      <c r="M16" s="62" t="s">
        <v>137</v>
      </c>
      <c r="N16" s="6" t="s">
        <v>212</v>
      </c>
      <c r="O16" s="6" t="s">
        <v>194</v>
      </c>
      <c r="P16" s="6" t="s">
        <v>117</v>
      </c>
      <c r="Q16" s="6" t="s">
        <v>118</v>
      </c>
      <c r="R16" s="6" t="s">
        <v>194</v>
      </c>
      <c r="S16" s="13" t="s">
        <v>195</v>
      </c>
      <c r="T16" s="6" t="s">
        <v>133</v>
      </c>
      <c r="U16" s="13" t="s">
        <v>213</v>
      </c>
    </row>
    <row r="17" spans="1:23" ht="15" customHeight="1">
      <c r="A17" s="65"/>
      <c r="B17" s="63" t="s">
        <v>144</v>
      </c>
      <c r="C17" s="64" t="s">
        <v>154</v>
      </c>
      <c r="D17" s="65"/>
      <c r="E17" s="65"/>
      <c r="F17" s="6"/>
      <c r="G17" s="65"/>
      <c r="H17" s="65"/>
      <c r="I17" s="65" t="s">
        <v>214</v>
      </c>
      <c r="J17" s="65"/>
      <c r="K17" s="65"/>
      <c r="L17" s="63" t="s">
        <v>96</v>
      </c>
      <c r="M17" s="62" t="s">
        <v>137</v>
      </c>
      <c r="N17" s="6" t="s">
        <v>215</v>
      </c>
      <c r="O17" s="6" t="s">
        <v>194</v>
      </c>
      <c r="P17" s="6" t="s">
        <v>117</v>
      </c>
      <c r="Q17" s="6" t="s">
        <v>118</v>
      </c>
      <c r="R17" s="6" t="s">
        <v>194</v>
      </c>
      <c r="S17" s="13" t="s">
        <v>195</v>
      </c>
      <c r="T17" s="6" t="s">
        <v>133</v>
      </c>
      <c r="U17" s="13" t="s">
        <v>216</v>
      </c>
    </row>
    <row r="18" spans="1:23" ht="15" customHeight="1">
      <c r="A18" s="65"/>
      <c r="B18" s="63" t="s">
        <v>144</v>
      </c>
      <c r="C18" s="64" t="s">
        <v>165</v>
      </c>
      <c r="D18" s="65"/>
      <c r="E18" s="65"/>
      <c r="G18" s="65"/>
      <c r="H18" s="65"/>
      <c r="I18" s="65" t="s">
        <v>217</v>
      </c>
      <c r="J18" s="65"/>
      <c r="K18" s="65"/>
      <c r="L18" s="63" t="s">
        <v>96</v>
      </c>
      <c r="M18" s="62" t="s">
        <v>137</v>
      </c>
      <c r="N18" s="6" t="s">
        <v>218</v>
      </c>
      <c r="O18" s="6" t="s">
        <v>194</v>
      </c>
      <c r="P18" s="6" t="s">
        <v>117</v>
      </c>
      <c r="Q18" s="6" t="s">
        <v>118</v>
      </c>
      <c r="R18" s="6" t="s">
        <v>194</v>
      </c>
      <c r="S18" s="13" t="s">
        <v>195</v>
      </c>
      <c r="T18" s="6" t="s">
        <v>133</v>
      </c>
      <c r="U18" s="13" t="s">
        <v>219</v>
      </c>
    </row>
    <row r="19" spans="1:23" ht="15" customHeight="1">
      <c r="A19" s="65"/>
      <c r="B19" s="63" t="s">
        <v>153</v>
      </c>
      <c r="C19" s="64" t="s">
        <v>173</v>
      </c>
      <c r="D19" s="65"/>
      <c r="E19" s="65"/>
      <c r="G19" s="65"/>
      <c r="H19" s="65"/>
      <c r="I19" s="65" t="s">
        <v>220</v>
      </c>
      <c r="J19" s="65"/>
      <c r="K19" s="65"/>
      <c r="L19" s="63" t="s">
        <v>96</v>
      </c>
      <c r="M19" s="62" t="s">
        <v>137</v>
      </c>
      <c r="N19" s="6" t="s">
        <v>221</v>
      </c>
      <c r="O19" s="6" t="s">
        <v>222</v>
      </c>
      <c r="P19" s="6" t="s">
        <v>117</v>
      </c>
      <c r="Q19" s="6" t="s">
        <v>118</v>
      </c>
      <c r="R19" s="70" t="s">
        <v>223</v>
      </c>
      <c r="S19" s="13" t="s">
        <v>195</v>
      </c>
      <c r="T19" s="6" t="s">
        <v>133</v>
      </c>
      <c r="U19" s="13" t="s">
        <v>224</v>
      </c>
    </row>
    <row r="20" spans="1:23" ht="15" customHeight="1">
      <c r="A20" s="65"/>
      <c r="B20" s="63" t="s">
        <v>162</v>
      </c>
      <c r="C20" s="64" t="s">
        <v>181</v>
      </c>
      <c r="D20" s="65"/>
      <c r="E20" s="65"/>
      <c r="G20" s="65"/>
      <c r="H20" s="65"/>
      <c r="I20" s="65" t="s">
        <v>225</v>
      </c>
      <c r="J20" s="65"/>
      <c r="K20" s="65"/>
      <c r="L20" s="63" t="s">
        <v>96</v>
      </c>
      <c r="M20" s="62" t="s">
        <v>137</v>
      </c>
      <c r="N20" s="6" t="s">
        <v>226</v>
      </c>
      <c r="O20" s="6" t="s">
        <v>227</v>
      </c>
      <c r="P20" s="6" t="s">
        <v>117</v>
      </c>
      <c r="Q20" s="6" t="s">
        <v>118</v>
      </c>
      <c r="R20" s="70" t="s">
        <v>228</v>
      </c>
      <c r="S20" s="13" t="s">
        <v>195</v>
      </c>
      <c r="T20" s="6" t="s">
        <v>133</v>
      </c>
      <c r="U20" s="13" t="s">
        <v>229</v>
      </c>
    </row>
    <row r="21" spans="1:23" ht="15" customHeight="1">
      <c r="A21" s="65"/>
      <c r="B21" s="63" t="s">
        <v>169</v>
      </c>
      <c r="C21" s="64" t="s">
        <v>165</v>
      </c>
      <c r="D21" s="65"/>
      <c r="E21" s="65"/>
      <c r="G21" s="65"/>
      <c r="H21" s="65"/>
      <c r="I21" s="65"/>
      <c r="J21" s="65"/>
      <c r="K21" s="65"/>
      <c r="L21" s="63" t="s">
        <v>96</v>
      </c>
      <c r="M21" s="62" t="s">
        <v>137</v>
      </c>
      <c r="N21" s="6" t="s">
        <v>230</v>
      </c>
      <c r="O21" s="6" t="s">
        <v>231</v>
      </c>
      <c r="P21" s="6" t="s">
        <v>117</v>
      </c>
      <c r="Q21" s="6" t="s">
        <v>118</v>
      </c>
      <c r="R21" s="70" t="s">
        <v>228</v>
      </c>
      <c r="S21" s="13" t="s">
        <v>195</v>
      </c>
      <c r="T21" s="6" t="s">
        <v>133</v>
      </c>
      <c r="U21" s="13" t="s">
        <v>232</v>
      </c>
      <c r="W21" s="2">
        <f>1500/120</f>
        <v>12.5</v>
      </c>
    </row>
    <row r="22" spans="1:23" ht="15" customHeight="1">
      <c r="A22" s="65"/>
      <c r="B22" s="63" t="s">
        <v>169</v>
      </c>
      <c r="C22" s="64" t="s">
        <v>173</v>
      </c>
      <c r="D22" s="65"/>
      <c r="E22" s="65"/>
      <c r="G22" s="65"/>
      <c r="H22" s="65"/>
      <c r="I22" s="65"/>
      <c r="J22" s="65"/>
      <c r="K22" s="65"/>
      <c r="L22" s="63" t="s">
        <v>96</v>
      </c>
      <c r="M22" s="62" t="s">
        <v>137</v>
      </c>
      <c r="N22" s="6" t="s">
        <v>233</v>
      </c>
      <c r="O22" s="6" t="s">
        <v>234</v>
      </c>
      <c r="P22" s="6" t="s">
        <v>117</v>
      </c>
      <c r="Q22" s="6" t="s">
        <v>118</v>
      </c>
      <c r="R22" s="70" t="s">
        <v>228</v>
      </c>
      <c r="S22" s="13" t="s">
        <v>195</v>
      </c>
      <c r="T22" s="6" t="s">
        <v>133</v>
      </c>
      <c r="U22" s="13" t="s">
        <v>235</v>
      </c>
    </row>
    <row r="23" spans="1:23" ht="15" customHeight="1">
      <c r="A23" s="65"/>
      <c r="B23" s="71" t="s">
        <v>178</v>
      </c>
      <c r="C23" s="72" t="s">
        <v>181</v>
      </c>
      <c r="D23" s="65"/>
      <c r="E23" s="65"/>
      <c r="F23" s="65"/>
      <c r="G23" s="65"/>
      <c r="H23" s="65"/>
      <c r="I23" s="65"/>
      <c r="J23" s="65"/>
      <c r="K23" s="65"/>
      <c r="L23" s="63" t="s">
        <v>96</v>
      </c>
      <c r="M23" s="62" t="s">
        <v>137</v>
      </c>
      <c r="N23" s="6" t="s">
        <v>236</v>
      </c>
      <c r="O23" s="6" t="s">
        <v>237</v>
      </c>
      <c r="P23" s="6" t="s">
        <v>117</v>
      </c>
      <c r="Q23" s="6" t="s">
        <v>118</v>
      </c>
      <c r="R23" s="70" t="s">
        <v>194</v>
      </c>
      <c r="S23" s="13" t="s">
        <v>195</v>
      </c>
      <c r="T23" s="6" t="s">
        <v>133</v>
      </c>
      <c r="U23" s="13" t="s">
        <v>238</v>
      </c>
    </row>
    <row r="24" spans="1:23" ht="15" customHeight="1">
      <c r="A24" s="65"/>
      <c r="B24" s="71" t="s">
        <v>178</v>
      </c>
      <c r="C24" s="72" t="s">
        <v>173</v>
      </c>
      <c r="D24" s="65"/>
      <c r="E24" s="65"/>
      <c r="F24" s="65"/>
      <c r="G24" s="65"/>
      <c r="H24" s="65"/>
      <c r="I24" s="65"/>
      <c r="J24" s="65"/>
      <c r="K24" s="65"/>
      <c r="L24" s="63" t="s">
        <v>96</v>
      </c>
      <c r="M24" s="62" t="s">
        <v>137</v>
      </c>
      <c r="N24" s="6" t="s">
        <v>239</v>
      </c>
      <c r="O24" s="6" t="s">
        <v>240</v>
      </c>
      <c r="P24" s="6" t="s">
        <v>117</v>
      </c>
      <c r="Q24" s="6" t="s">
        <v>201</v>
      </c>
      <c r="R24" s="70" t="s">
        <v>202</v>
      </c>
      <c r="S24" s="13" t="s">
        <v>195</v>
      </c>
      <c r="T24" s="6" t="s">
        <v>133</v>
      </c>
      <c r="U24" s="6" t="s">
        <v>203</v>
      </c>
    </row>
    <row r="25" spans="1:23" ht="15" customHeight="1">
      <c r="A25" s="65"/>
      <c r="B25" s="65"/>
      <c r="C25" s="65"/>
      <c r="D25" s="65"/>
      <c r="E25" s="65"/>
      <c r="F25" s="65"/>
      <c r="G25" s="65"/>
      <c r="H25" s="65"/>
      <c r="I25" s="65"/>
      <c r="J25" s="65"/>
      <c r="K25" s="65"/>
      <c r="L25" s="63" t="s">
        <v>96</v>
      </c>
      <c r="M25" s="62" t="s">
        <v>146</v>
      </c>
      <c r="N25" s="6" t="s">
        <v>241</v>
      </c>
      <c r="O25" s="6" t="s">
        <v>242</v>
      </c>
      <c r="P25" s="6" t="s">
        <v>131</v>
      </c>
      <c r="Q25" s="6" t="s">
        <v>118</v>
      </c>
      <c r="R25" s="70" t="s">
        <v>119</v>
      </c>
      <c r="S25" s="6" t="s">
        <v>120</v>
      </c>
      <c r="T25" s="6" t="s">
        <v>121</v>
      </c>
      <c r="U25" s="13" t="s">
        <v>243</v>
      </c>
    </row>
    <row r="26" spans="1:23" ht="15" customHeight="1">
      <c r="A26" s="65"/>
      <c r="B26" s="65"/>
      <c r="C26" s="65"/>
      <c r="D26" s="65"/>
      <c r="E26" s="65"/>
      <c r="F26" s="65"/>
      <c r="G26" s="65"/>
      <c r="H26" s="65"/>
      <c r="I26" s="65"/>
      <c r="J26" s="65"/>
      <c r="K26" s="65"/>
      <c r="L26" s="63" t="s">
        <v>96</v>
      </c>
      <c r="M26" s="62" t="s">
        <v>146</v>
      </c>
      <c r="N26" s="6" t="s">
        <v>244</v>
      </c>
      <c r="O26" s="6" t="s">
        <v>245</v>
      </c>
      <c r="P26" s="6" t="s">
        <v>117</v>
      </c>
      <c r="Q26" s="6" t="s">
        <v>118</v>
      </c>
      <c r="R26" s="70" t="s">
        <v>119</v>
      </c>
      <c r="S26" s="6" t="s">
        <v>120</v>
      </c>
      <c r="T26" s="6" t="s">
        <v>121</v>
      </c>
      <c r="U26" s="13" t="s">
        <v>246</v>
      </c>
    </row>
    <row r="27" spans="1:23" ht="15" customHeight="1">
      <c r="A27" s="65"/>
      <c r="B27" s="65"/>
      <c r="C27" s="65"/>
      <c r="D27" s="65"/>
      <c r="E27" s="65"/>
      <c r="F27" s="65"/>
      <c r="G27" s="65"/>
      <c r="H27" s="65"/>
      <c r="I27" s="65"/>
      <c r="J27" s="65"/>
      <c r="K27" s="65"/>
      <c r="L27" s="63" t="s">
        <v>96</v>
      </c>
      <c r="M27" s="62" t="s">
        <v>155</v>
      </c>
      <c r="N27" s="62" t="s">
        <v>247</v>
      </c>
      <c r="O27" s="6" t="s">
        <v>248</v>
      </c>
      <c r="P27" s="6" t="s">
        <v>131</v>
      </c>
      <c r="Q27" s="6" t="s">
        <v>132</v>
      </c>
      <c r="R27" s="70" t="s">
        <v>119</v>
      </c>
      <c r="S27" s="6" t="s">
        <v>120</v>
      </c>
      <c r="T27" s="6" t="s">
        <v>176</v>
      </c>
      <c r="U27" s="13" t="s">
        <v>249</v>
      </c>
    </row>
    <row r="28" spans="1:23" ht="15" customHeight="1">
      <c r="A28" s="65"/>
      <c r="B28" s="65"/>
      <c r="C28" s="65"/>
      <c r="D28" s="65"/>
      <c r="E28" s="65"/>
      <c r="F28" s="65"/>
      <c r="G28" s="65"/>
      <c r="H28" s="65"/>
      <c r="I28" s="65"/>
      <c r="J28" s="65"/>
      <c r="K28" s="65"/>
      <c r="L28" s="63" t="s">
        <v>96</v>
      </c>
      <c r="M28" s="62" t="s">
        <v>155</v>
      </c>
      <c r="N28" s="62" t="s">
        <v>250</v>
      </c>
      <c r="O28" s="6" t="s">
        <v>251</v>
      </c>
      <c r="P28" s="6" t="s">
        <v>117</v>
      </c>
      <c r="Q28" s="6" t="s">
        <v>118</v>
      </c>
      <c r="R28" s="70" t="s">
        <v>119</v>
      </c>
      <c r="S28" s="6" t="s">
        <v>120</v>
      </c>
      <c r="T28" s="6" t="s">
        <v>176</v>
      </c>
      <c r="U28" s="13" t="s">
        <v>249</v>
      </c>
    </row>
    <row r="29" spans="1:23" ht="15" customHeight="1">
      <c r="A29" s="65"/>
      <c r="B29" s="65"/>
      <c r="C29" s="65"/>
      <c r="D29" s="65"/>
      <c r="E29" s="65"/>
      <c r="F29" s="65"/>
      <c r="G29" s="65"/>
      <c r="H29" s="65"/>
      <c r="I29" s="65"/>
      <c r="J29" s="65"/>
      <c r="K29" s="65"/>
      <c r="L29" s="73" t="s">
        <v>98</v>
      </c>
      <c r="M29" s="6" t="s">
        <v>113</v>
      </c>
      <c r="N29" s="6" t="s">
        <v>252</v>
      </c>
      <c r="O29" s="6" t="s">
        <v>253</v>
      </c>
      <c r="P29" s="6" t="s">
        <v>117</v>
      </c>
      <c r="Q29" s="6" t="s">
        <v>118</v>
      </c>
      <c r="R29" s="70" t="s">
        <v>119</v>
      </c>
      <c r="S29" s="6" t="s">
        <v>120</v>
      </c>
      <c r="T29" s="6" t="s">
        <v>121</v>
      </c>
      <c r="U29" s="13" t="s">
        <v>254</v>
      </c>
      <c r="W29" s="12"/>
    </row>
    <row r="30" spans="1:23" ht="15" customHeight="1">
      <c r="A30" s="65"/>
      <c r="B30" s="65"/>
      <c r="C30" s="65"/>
      <c r="D30" s="65"/>
      <c r="E30" s="65"/>
      <c r="F30" s="65"/>
      <c r="G30" s="65"/>
      <c r="H30" s="65"/>
      <c r="I30" s="65"/>
      <c r="J30" s="65"/>
      <c r="K30" s="65"/>
      <c r="L30" s="73" t="s">
        <v>98</v>
      </c>
      <c r="M30" s="6" t="s">
        <v>113</v>
      </c>
      <c r="N30" s="6" t="s">
        <v>255</v>
      </c>
      <c r="O30" s="6" t="s">
        <v>256</v>
      </c>
      <c r="P30" s="6" t="s">
        <v>117</v>
      </c>
      <c r="Q30" s="6" t="s">
        <v>118</v>
      </c>
      <c r="R30" s="70" t="s">
        <v>257</v>
      </c>
      <c r="S30" s="6" t="s">
        <v>195</v>
      </c>
      <c r="T30" s="6" t="s">
        <v>121</v>
      </c>
      <c r="U30" s="6" t="s">
        <v>203</v>
      </c>
    </row>
    <row r="31" spans="1:23" ht="15" customHeight="1">
      <c r="A31" s="65"/>
      <c r="B31" s="65"/>
      <c r="C31" s="65"/>
      <c r="D31" s="65"/>
      <c r="E31" s="74"/>
      <c r="F31" s="65"/>
      <c r="G31" s="65"/>
      <c r="H31" s="65"/>
      <c r="I31" s="65"/>
      <c r="J31" s="65"/>
      <c r="K31" s="65"/>
      <c r="L31" s="73" t="s">
        <v>98</v>
      </c>
      <c r="M31" s="6" t="s">
        <v>139</v>
      </c>
      <c r="N31" s="6" t="s">
        <v>258</v>
      </c>
      <c r="O31" s="6" t="s">
        <v>259</v>
      </c>
      <c r="P31" s="6" t="s">
        <v>131</v>
      </c>
      <c r="Q31" s="6" t="s">
        <v>132</v>
      </c>
      <c r="R31" s="70" t="s">
        <v>257</v>
      </c>
      <c r="S31" s="6" t="s">
        <v>195</v>
      </c>
      <c r="T31" s="6" t="s">
        <v>133</v>
      </c>
      <c r="U31" s="13" t="s">
        <v>260</v>
      </c>
    </row>
    <row r="32" spans="1:23" ht="15" customHeight="1">
      <c r="A32" s="65"/>
      <c r="B32" s="65"/>
      <c r="C32" s="65"/>
      <c r="D32" s="65"/>
      <c r="E32" s="65"/>
      <c r="F32" s="65"/>
      <c r="G32" s="65"/>
      <c r="H32" s="65"/>
      <c r="I32" s="65"/>
      <c r="J32" s="65"/>
      <c r="K32" s="65"/>
      <c r="L32" s="73" t="s">
        <v>98</v>
      </c>
      <c r="M32" s="6" t="s">
        <v>139</v>
      </c>
      <c r="N32" s="6" t="s">
        <v>261</v>
      </c>
      <c r="O32" s="6" t="s">
        <v>259</v>
      </c>
      <c r="P32" s="6" t="s">
        <v>131</v>
      </c>
      <c r="Q32" s="6" t="s">
        <v>118</v>
      </c>
      <c r="R32" s="70" t="s">
        <v>257</v>
      </c>
      <c r="S32" s="6" t="s">
        <v>195</v>
      </c>
      <c r="T32" s="6" t="s">
        <v>133</v>
      </c>
      <c r="U32" s="13" t="s">
        <v>260</v>
      </c>
    </row>
    <row r="33" spans="1:23" ht="15" customHeight="1">
      <c r="A33" s="65"/>
      <c r="B33" s="65"/>
      <c r="C33" s="65"/>
      <c r="D33" s="65"/>
      <c r="E33" s="65"/>
      <c r="F33" s="65"/>
      <c r="G33" s="65"/>
      <c r="H33" s="65"/>
      <c r="I33" s="65"/>
      <c r="J33" s="65"/>
      <c r="K33" s="65"/>
      <c r="L33" s="73" t="s">
        <v>98</v>
      </c>
      <c r="M33" s="6" t="s">
        <v>139</v>
      </c>
      <c r="N33" s="6" t="s">
        <v>262</v>
      </c>
      <c r="O33" s="13" t="s">
        <v>263</v>
      </c>
      <c r="P33" s="6" t="s">
        <v>131</v>
      </c>
      <c r="Q33" s="6" t="s">
        <v>118</v>
      </c>
      <c r="R33" s="70" t="s">
        <v>257</v>
      </c>
      <c r="S33" s="6" t="s">
        <v>195</v>
      </c>
      <c r="T33" s="6" t="s">
        <v>133</v>
      </c>
      <c r="U33" s="13" t="s">
        <v>264</v>
      </c>
    </row>
    <row r="34" spans="1:23" ht="15" customHeight="1">
      <c r="A34" s="65"/>
      <c r="B34" s="65"/>
      <c r="C34" s="65"/>
      <c r="D34" s="65"/>
      <c r="E34" s="65"/>
      <c r="F34" s="65"/>
      <c r="G34" s="65"/>
      <c r="H34" s="65"/>
      <c r="I34" s="65"/>
      <c r="J34" s="65"/>
      <c r="K34" s="65"/>
      <c r="L34" s="73" t="s">
        <v>98</v>
      </c>
      <c r="M34" s="6" t="s">
        <v>139</v>
      </c>
      <c r="N34" s="6" t="s">
        <v>265</v>
      </c>
      <c r="O34" s="13" t="s">
        <v>266</v>
      </c>
      <c r="P34" s="6" t="s">
        <v>131</v>
      </c>
      <c r="Q34" s="6" t="s">
        <v>201</v>
      </c>
      <c r="R34" s="70" t="s">
        <v>257</v>
      </c>
      <c r="S34" s="6" t="s">
        <v>195</v>
      </c>
      <c r="T34" s="6" t="s">
        <v>133</v>
      </c>
      <c r="U34" s="13" t="s">
        <v>264</v>
      </c>
    </row>
    <row r="35" spans="1:23" ht="15" customHeight="1">
      <c r="A35" s="65"/>
      <c r="B35" s="65"/>
      <c r="C35" s="65"/>
      <c r="D35" s="65"/>
      <c r="E35" s="65"/>
      <c r="F35" s="65"/>
      <c r="G35" s="65"/>
      <c r="H35" s="65"/>
      <c r="I35" s="65"/>
      <c r="J35" s="65"/>
      <c r="K35" s="65"/>
      <c r="L35" s="73" t="s">
        <v>98</v>
      </c>
      <c r="M35" s="13" t="s">
        <v>127</v>
      </c>
      <c r="N35" s="6" t="s">
        <v>267</v>
      </c>
      <c r="O35" s="13" t="s">
        <v>268</v>
      </c>
      <c r="P35" s="6" t="s">
        <v>117</v>
      </c>
      <c r="Q35" s="6" t="s">
        <v>118</v>
      </c>
      <c r="R35" s="70" t="s">
        <v>119</v>
      </c>
      <c r="S35" s="6" t="s">
        <v>120</v>
      </c>
      <c r="T35" s="6" t="s">
        <v>121</v>
      </c>
      <c r="U35" s="13" t="s">
        <v>269</v>
      </c>
    </row>
    <row r="36" spans="1:23" ht="15" customHeight="1">
      <c r="A36" s="65"/>
      <c r="B36" s="65"/>
      <c r="C36" s="65"/>
      <c r="D36" s="65"/>
      <c r="E36" s="65"/>
      <c r="F36" s="65"/>
      <c r="G36" s="65"/>
      <c r="H36" s="65"/>
      <c r="I36" s="65"/>
      <c r="J36" s="65"/>
      <c r="K36" s="65"/>
      <c r="L36" s="73" t="s">
        <v>98</v>
      </c>
      <c r="M36" s="13" t="s">
        <v>148</v>
      </c>
      <c r="N36" s="6" t="s">
        <v>270</v>
      </c>
      <c r="O36" s="13" t="s">
        <v>271</v>
      </c>
      <c r="P36" s="6" t="s">
        <v>131</v>
      </c>
      <c r="Q36" s="6" t="s">
        <v>132</v>
      </c>
      <c r="R36" s="70" t="s">
        <v>119</v>
      </c>
      <c r="S36" s="6" t="s">
        <v>120</v>
      </c>
      <c r="T36" s="6" t="s">
        <v>176</v>
      </c>
      <c r="U36" s="13" t="s">
        <v>272</v>
      </c>
      <c r="W36" s="7"/>
    </row>
    <row r="37" spans="1:23" ht="15" customHeight="1">
      <c r="A37" s="65"/>
      <c r="B37" s="65"/>
      <c r="C37" s="65"/>
      <c r="D37" s="65"/>
      <c r="E37" s="65"/>
      <c r="F37" s="65"/>
      <c r="G37" s="65"/>
      <c r="H37" s="65"/>
      <c r="I37" s="65"/>
      <c r="J37" s="65"/>
      <c r="K37" s="65"/>
      <c r="L37" s="73" t="s">
        <v>98</v>
      </c>
      <c r="M37" s="6" t="s">
        <v>148</v>
      </c>
      <c r="N37" s="6" t="s">
        <v>273</v>
      </c>
      <c r="O37" s="13" t="s">
        <v>274</v>
      </c>
      <c r="P37" s="6" t="s">
        <v>117</v>
      </c>
      <c r="Q37" s="6" t="s">
        <v>118</v>
      </c>
      <c r="R37" s="70" t="s">
        <v>119</v>
      </c>
      <c r="S37" s="6" t="s">
        <v>120</v>
      </c>
      <c r="T37" s="6" t="s">
        <v>176</v>
      </c>
      <c r="U37" s="13" t="s">
        <v>272</v>
      </c>
      <c r="W37" s="7"/>
    </row>
    <row r="38" spans="1:23" ht="15" customHeight="1">
      <c r="A38" s="65"/>
      <c r="B38" s="65"/>
      <c r="C38" s="65"/>
      <c r="D38" s="65"/>
      <c r="E38" s="65"/>
      <c r="F38" s="65"/>
      <c r="G38" s="65"/>
      <c r="H38" s="65"/>
      <c r="I38" s="65"/>
      <c r="J38" s="65"/>
      <c r="K38" s="65"/>
      <c r="L38" s="73" t="s">
        <v>98</v>
      </c>
      <c r="M38" s="6" t="s">
        <v>157</v>
      </c>
      <c r="N38" s="6" t="s">
        <v>275</v>
      </c>
      <c r="O38" s="13" t="s">
        <v>276</v>
      </c>
      <c r="P38" s="6" t="s">
        <v>131</v>
      </c>
      <c r="Q38" s="6" t="s">
        <v>132</v>
      </c>
      <c r="R38" s="70" t="s">
        <v>119</v>
      </c>
      <c r="S38" s="6" t="s">
        <v>120</v>
      </c>
      <c r="T38" s="6" t="s">
        <v>176</v>
      </c>
      <c r="U38" s="13" t="s">
        <v>277</v>
      </c>
      <c r="W38" s="12"/>
    </row>
    <row r="39" spans="1:23" ht="15" customHeight="1">
      <c r="A39" s="65"/>
      <c r="B39" s="65"/>
      <c r="C39" s="65"/>
      <c r="D39" s="65"/>
      <c r="E39" s="65"/>
      <c r="F39" s="65"/>
      <c r="G39" s="65"/>
      <c r="H39" s="65"/>
      <c r="I39" s="65"/>
      <c r="J39" s="65"/>
      <c r="K39" s="65"/>
      <c r="L39" s="73" t="s">
        <v>98</v>
      </c>
      <c r="M39" s="6" t="s">
        <v>157</v>
      </c>
      <c r="N39" s="6" t="s">
        <v>278</v>
      </c>
      <c r="O39" s="13" t="s">
        <v>279</v>
      </c>
      <c r="P39" s="6" t="s">
        <v>117</v>
      </c>
      <c r="Q39" s="6" t="s">
        <v>118</v>
      </c>
      <c r="R39" s="70" t="s">
        <v>119</v>
      </c>
      <c r="S39" s="6" t="s">
        <v>120</v>
      </c>
      <c r="T39" s="6" t="s">
        <v>176</v>
      </c>
      <c r="U39" s="13" t="s">
        <v>277</v>
      </c>
    </row>
    <row r="40" spans="1:23" ht="15" customHeight="1">
      <c r="A40" s="65"/>
      <c r="B40" s="65"/>
      <c r="C40" s="65"/>
      <c r="D40" s="75"/>
      <c r="E40" s="75"/>
      <c r="F40" s="65"/>
      <c r="G40" s="65"/>
      <c r="H40" s="65"/>
      <c r="I40" s="65"/>
      <c r="J40" s="65"/>
      <c r="K40" s="65"/>
      <c r="L40" s="73" t="s">
        <v>98</v>
      </c>
      <c r="M40" s="6" t="s">
        <v>171</v>
      </c>
      <c r="N40" s="6" t="s">
        <v>171</v>
      </c>
      <c r="O40" s="6" t="s">
        <v>280</v>
      </c>
      <c r="P40" s="6" t="s">
        <v>117</v>
      </c>
      <c r="Q40" s="6" t="s">
        <v>118</v>
      </c>
      <c r="R40" s="69" t="s">
        <v>281</v>
      </c>
      <c r="S40" s="6" t="s">
        <v>282</v>
      </c>
      <c r="T40" s="6" t="s">
        <v>133</v>
      </c>
      <c r="U40" s="6" t="s">
        <v>203</v>
      </c>
    </row>
    <row r="41" spans="1:23" ht="15" customHeight="1">
      <c r="A41" s="65"/>
      <c r="B41" s="75"/>
      <c r="C41" s="75"/>
      <c r="D41" s="75"/>
      <c r="E41" s="75"/>
      <c r="F41" s="65"/>
      <c r="G41" s="65"/>
      <c r="H41" s="65"/>
      <c r="I41" s="65"/>
      <c r="J41" s="65"/>
      <c r="K41" s="65"/>
      <c r="L41" s="73" t="s">
        <v>97</v>
      </c>
      <c r="M41" s="81" t="s">
        <v>112</v>
      </c>
      <c r="N41" s="87" t="s">
        <v>283</v>
      </c>
      <c r="O41" s="81" t="s">
        <v>284</v>
      </c>
      <c r="P41" s="6" t="s">
        <v>131</v>
      </c>
      <c r="Q41" s="6" t="s">
        <v>285</v>
      </c>
      <c r="R41" s="70" t="s">
        <v>257</v>
      </c>
      <c r="S41" s="6" t="s">
        <v>282</v>
      </c>
      <c r="T41" s="6" t="s">
        <v>286</v>
      </c>
      <c r="U41" s="6"/>
    </row>
    <row r="42" spans="1:23" ht="15" customHeight="1">
      <c r="A42" s="65"/>
      <c r="B42" s="75"/>
      <c r="C42" s="75"/>
      <c r="D42" s="75"/>
      <c r="E42" s="75"/>
      <c r="F42" s="65"/>
      <c r="G42" s="65"/>
      <c r="H42" s="65"/>
      <c r="I42" s="65"/>
      <c r="J42" s="65"/>
      <c r="K42" s="65"/>
      <c r="L42" s="79" t="s">
        <v>97</v>
      </c>
      <c r="M42" s="81" t="s">
        <v>112</v>
      </c>
      <c r="N42" s="81" t="s">
        <v>287</v>
      </c>
      <c r="O42" s="81" t="s">
        <v>288</v>
      </c>
      <c r="P42" s="6" t="s">
        <v>131</v>
      </c>
      <c r="Q42" s="6" t="s">
        <v>285</v>
      </c>
      <c r="R42" s="70" t="s">
        <v>119</v>
      </c>
      <c r="S42" s="6" t="s">
        <v>120</v>
      </c>
      <c r="T42" s="6" t="s">
        <v>203</v>
      </c>
      <c r="U42" s="6" t="s">
        <v>289</v>
      </c>
    </row>
    <row r="43" spans="1:23" ht="15" customHeight="1">
      <c r="A43" s="65"/>
      <c r="B43" s="75"/>
      <c r="C43" s="75"/>
      <c r="D43" s="65"/>
      <c r="E43" s="65"/>
      <c r="F43" s="65"/>
      <c r="G43" s="65"/>
      <c r="H43" s="65"/>
      <c r="I43" s="65"/>
      <c r="J43" s="65"/>
      <c r="K43" s="65"/>
      <c r="L43" s="73" t="s">
        <v>97</v>
      </c>
      <c r="M43" s="81" t="s">
        <v>112</v>
      </c>
      <c r="N43" s="83" t="s">
        <v>290</v>
      </c>
      <c r="O43" s="87" t="s">
        <v>291</v>
      </c>
      <c r="P43" s="6" t="s">
        <v>131</v>
      </c>
      <c r="Q43" s="6" t="s">
        <v>285</v>
      </c>
      <c r="R43" s="70" t="s">
        <v>119</v>
      </c>
      <c r="S43" s="6" t="s">
        <v>120</v>
      </c>
      <c r="T43" s="6" t="s">
        <v>121</v>
      </c>
      <c r="U43" s="6"/>
    </row>
    <row r="44" spans="1:23" ht="15" customHeight="1">
      <c r="A44" s="65"/>
      <c r="B44" s="65"/>
      <c r="C44" s="65"/>
      <c r="D44" s="65"/>
      <c r="E44" s="65"/>
      <c r="F44" s="65"/>
      <c r="G44" s="65"/>
      <c r="H44" s="65"/>
      <c r="I44" s="65"/>
      <c r="J44" s="65"/>
      <c r="K44" s="65"/>
      <c r="L44" s="79" t="s">
        <v>97</v>
      </c>
      <c r="M44" s="81" t="s">
        <v>112</v>
      </c>
      <c r="N44" s="81" t="s">
        <v>292</v>
      </c>
      <c r="O44" s="81" t="s">
        <v>293</v>
      </c>
      <c r="P44" s="6" t="s">
        <v>131</v>
      </c>
      <c r="Q44" s="6" t="s">
        <v>285</v>
      </c>
      <c r="R44" s="70" t="s">
        <v>119</v>
      </c>
      <c r="S44" s="6" t="s">
        <v>120</v>
      </c>
      <c r="T44" s="6" t="s">
        <v>286</v>
      </c>
      <c r="U44" s="6"/>
    </row>
    <row r="45" spans="1:23" ht="15" customHeight="1">
      <c r="A45" s="65"/>
      <c r="B45" s="74"/>
      <c r="C45" s="65"/>
      <c r="D45" s="65"/>
      <c r="E45" s="65"/>
      <c r="F45" s="65"/>
      <c r="G45" s="65"/>
      <c r="H45" s="65"/>
      <c r="I45" s="65"/>
      <c r="J45" s="65"/>
      <c r="K45" s="65"/>
      <c r="L45" s="79" t="s">
        <v>97</v>
      </c>
      <c r="M45" s="6" t="s">
        <v>112</v>
      </c>
      <c r="N45" s="6" t="s">
        <v>294</v>
      </c>
      <c r="O45" s="6" t="s">
        <v>295</v>
      </c>
      <c r="P45" s="6" t="s">
        <v>117</v>
      </c>
      <c r="Q45" s="6" t="s">
        <v>285</v>
      </c>
      <c r="R45" s="70" t="s">
        <v>119</v>
      </c>
      <c r="S45" s="6" t="s">
        <v>120</v>
      </c>
      <c r="T45" s="6" t="s">
        <v>296</v>
      </c>
      <c r="U45" s="6"/>
    </row>
    <row r="46" spans="1:23" ht="15.75" customHeight="1">
      <c r="A46" s="65"/>
      <c r="B46" s="74"/>
      <c r="C46" s="65"/>
      <c r="D46" s="65"/>
      <c r="E46" s="65"/>
      <c r="F46" s="65"/>
      <c r="G46" s="65"/>
      <c r="H46" s="65"/>
      <c r="I46" s="65"/>
      <c r="J46" s="65"/>
      <c r="K46" s="65"/>
      <c r="L46" s="73" t="s">
        <v>97</v>
      </c>
      <c r="M46" s="6" t="s">
        <v>112</v>
      </c>
      <c r="N46" s="13" t="s">
        <v>297</v>
      </c>
      <c r="O46" s="82" t="s">
        <v>291</v>
      </c>
      <c r="P46" s="6" t="s">
        <v>131</v>
      </c>
      <c r="Q46" s="6" t="s">
        <v>285</v>
      </c>
      <c r="R46" s="70" t="s">
        <v>119</v>
      </c>
      <c r="S46" s="6" t="s">
        <v>120</v>
      </c>
      <c r="T46" s="6" t="s">
        <v>121</v>
      </c>
      <c r="U46" s="6"/>
    </row>
    <row r="47" spans="1:23" ht="15" customHeight="1">
      <c r="A47" s="65"/>
      <c r="B47" s="74"/>
      <c r="C47" s="65"/>
      <c r="D47" s="65"/>
      <c r="E47" s="65"/>
      <c r="F47" s="65"/>
      <c r="G47" s="65"/>
      <c r="H47" s="65"/>
      <c r="I47" s="65"/>
      <c r="J47" s="65"/>
      <c r="K47" s="65"/>
      <c r="L47" s="73" t="s">
        <v>97</v>
      </c>
      <c r="M47" s="81" t="s">
        <v>112</v>
      </c>
      <c r="N47" s="81" t="s">
        <v>298</v>
      </c>
      <c r="O47" s="81" t="s">
        <v>284</v>
      </c>
      <c r="P47" s="6" t="s">
        <v>131</v>
      </c>
      <c r="Q47" s="6" t="s">
        <v>285</v>
      </c>
      <c r="R47" s="70" t="s">
        <v>257</v>
      </c>
      <c r="S47" s="6" t="s">
        <v>282</v>
      </c>
      <c r="T47" s="6" t="s">
        <v>286</v>
      </c>
      <c r="U47" s="6"/>
    </row>
    <row r="48" spans="1:23" ht="15" customHeight="1">
      <c r="A48" s="65"/>
      <c r="B48" s="65"/>
      <c r="C48" s="65"/>
      <c r="D48" s="65"/>
      <c r="E48" s="65"/>
      <c r="F48" s="65"/>
      <c r="G48" s="65"/>
      <c r="H48" s="65"/>
      <c r="I48" s="65"/>
      <c r="J48" s="65"/>
      <c r="K48" s="65"/>
      <c r="L48" s="79" t="s">
        <v>97</v>
      </c>
      <c r="M48" s="6" t="s">
        <v>112</v>
      </c>
      <c r="N48" s="6" t="s">
        <v>299</v>
      </c>
      <c r="O48" s="6" t="s">
        <v>300</v>
      </c>
      <c r="P48" s="6" t="s">
        <v>131</v>
      </c>
      <c r="Q48" s="6" t="s">
        <v>285</v>
      </c>
      <c r="R48" s="70" t="s">
        <v>257</v>
      </c>
      <c r="S48" s="6" t="s">
        <v>282</v>
      </c>
      <c r="T48" s="6" t="s">
        <v>286</v>
      </c>
      <c r="U48" s="6"/>
    </row>
    <row r="49" spans="1:21" ht="15" customHeight="1">
      <c r="A49" s="65"/>
      <c r="B49" s="65"/>
      <c r="C49" s="65"/>
      <c r="D49" s="65"/>
      <c r="E49" s="65"/>
      <c r="F49" s="65"/>
      <c r="G49" s="65"/>
      <c r="H49" s="65"/>
      <c r="I49" s="65"/>
      <c r="J49" s="65"/>
      <c r="K49" s="65"/>
      <c r="L49" s="73" t="s">
        <v>97</v>
      </c>
      <c r="M49" s="81" t="s">
        <v>112</v>
      </c>
      <c r="N49" s="81" t="s">
        <v>301</v>
      </c>
      <c r="O49" s="81" t="s">
        <v>284</v>
      </c>
      <c r="P49" s="6" t="s">
        <v>131</v>
      </c>
      <c r="Q49" s="6" t="s">
        <v>285</v>
      </c>
      <c r="R49" s="70" t="s">
        <v>257</v>
      </c>
      <c r="S49" s="6" t="s">
        <v>282</v>
      </c>
      <c r="T49" s="6" t="s">
        <v>286</v>
      </c>
      <c r="U49" s="6"/>
    </row>
    <row r="50" spans="1:21" ht="15" customHeight="1">
      <c r="A50" s="65"/>
      <c r="B50" s="65"/>
      <c r="C50" s="65"/>
      <c r="D50" s="65"/>
      <c r="E50" s="65"/>
      <c r="F50" s="65"/>
      <c r="G50" s="65"/>
      <c r="H50" s="65"/>
      <c r="I50" s="65"/>
      <c r="J50" s="65"/>
      <c r="K50" s="65"/>
      <c r="L50" s="73" t="s">
        <v>97</v>
      </c>
      <c r="M50" s="6" t="s">
        <v>112</v>
      </c>
      <c r="N50" s="6" t="s">
        <v>302</v>
      </c>
      <c r="O50" s="6" t="s">
        <v>303</v>
      </c>
      <c r="P50" s="6" t="s">
        <v>304</v>
      </c>
      <c r="Q50" s="6" t="s">
        <v>285</v>
      </c>
      <c r="R50" s="70" t="s">
        <v>257</v>
      </c>
      <c r="S50" s="6" t="s">
        <v>195</v>
      </c>
      <c r="T50" s="6" t="s">
        <v>133</v>
      </c>
      <c r="U50" s="6" t="s">
        <v>203</v>
      </c>
    </row>
    <row r="51" spans="1:21" ht="15" customHeight="1">
      <c r="A51" s="65"/>
      <c r="B51" s="65"/>
      <c r="C51" s="65"/>
      <c r="D51" s="65"/>
      <c r="E51" s="65"/>
      <c r="F51" s="65"/>
      <c r="G51" s="65"/>
      <c r="H51" s="65"/>
      <c r="I51" s="65"/>
      <c r="J51" s="65"/>
      <c r="K51" s="65"/>
      <c r="L51" s="73" t="s">
        <v>97</v>
      </c>
      <c r="M51" s="6" t="s">
        <v>112</v>
      </c>
      <c r="N51" s="6" t="s">
        <v>305</v>
      </c>
      <c r="O51" s="6" t="s">
        <v>284</v>
      </c>
      <c r="P51" s="6" t="s">
        <v>131</v>
      </c>
      <c r="Q51" s="6" t="s">
        <v>285</v>
      </c>
      <c r="R51" s="70" t="s">
        <v>257</v>
      </c>
      <c r="S51" s="6" t="s">
        <v>282</v>
      </c>
      <c r="T51" s="6" t="s">
        <v>176</v>
      </c>
      <c r="U51" s="6"/>
    </row>
    <row r="52" spans="1:21" ht="15" customHeight="1">
      <c r="A52" s="65"/>
      <c r="B52" s="65"/>
      <c r="C52" s="65"/>
      <c r="D52" s="65"/>
      <c r="E52" s="65"/>
      <c r="F52" s="65"/>
      <c r="G52" s="65"/>
      <c r="H52" s="65"/>
      <c r="I52" s="65"/>
      <c r="J52" s="65"/>
      <c r="K52" s="65"/>
      <c r="L52" s="73" t="s">
        <v>97</v>
      </c>
      <c r="M52" s="6" t="s">
        <v>112</v>
      </c>
      <c r="N52" s="6" t="s">
        <v>306</v>
      </c>
      <c r="O52" s="6" t="s">
        <v>284</v>
      </c>
      <c r="P52" s="6" t="s">
        <v>131</v>
      </c>
      <c r="Q52" s="6" t="s">
        <v>285</v>
      </c>
      <c r="R52" s="70" t="s">
        <v>257</v>
      </c>
      <c r="S52" s="6" t="s">
        <v>282</v>
      </c>
      <c r="T52" s="6" t="s">
        <v>176</v>
      </c>
      <c r="U52" s="6"/>
    </row>
    <row r="53" spans="1:21" ht="15" customHeight="1">
      <c r="A53" s="65"/>
      <c r="B53" s="65"/>
      <c r="C53" s="65"/>
      <c r="D53" s="65"/>
      <c r="E53" s="65"/>
      <c r="F53" s="65"/>
      <c r="G53" s="65"/>
      <c r="H53" s="65"/>
      <c r="I53" s="65"/>
      <c r="J53" s="65"/>
      <c r="K53" s="65"/>
      <c r="L53" s="76" t="s">
        <v>97</v>
      </c>
      <c r="M53" s="77" t="s">
        <v>112</v>
      </c>
      <c r="N53" s="77" t="s">
        <v>307</v>
      </c>
      <c r="O53" s="77" t="s">
        <v>308</v>
      </c>
      <c r="P53" s="77" t="s">
        <v>117</v>
      </c>
      <c r="Q53" s="77" t="s">
        <v>118</v>
      </c>
      <c r="R53" s="78" t="s">
        <v>119</v>
      </c>
      <c r="S53" s="77" t="s">
        <v>120</v>
      </c>
      <c r="T53" s="6" t="s">
        <v>121</v>
      </c>
      <c r="U53" s="6"/>
    </row>
    <row r="54" spans="1:21" ht="15" customHeight="1">
      <c r="A54" s="65"/>
      <c r="B54" s="65"/>
      <c r="C54" s="65"/>
      <c r="D54" s="65"/>
      <c r="E54" s="65"/>
      <c r="F54" s="65"/>
      <c r="G54" s="65"/>
      <c r="H54" s="65"/>
      <c r="I54" s="65"/>
      <c r="J54" s="65"/>
      <c r="K54" s="65"/>
      <c r="L54" s="76" t="s">
        <v>97</v>
      </c>
      <c r="M54" s="85" t="s">
        <v>112</v>
      </c>
      <c r="N54" s="88" t="s">
        <v>309</v>
      </c>
      <c r="O54" s="90" t="s">
        <v>310</v>
      </c>
      <c r="P54" s="77" t="s">
        <v>117</v>
      </c>
      <c r="Q54" s="77" t="s">
        <v>285</v>
      </c>
      <c r="R54" s="78" t="s">
        <v>119</v>
      </c>
      <c r="S54" s="77" t="s">
        <v>120</v>
      </c>
      <c r="T54" s="6" t="s">
        <v>121</v>
      </c>
      <c r="U54" s="6"/>
    </row>
    <row r="55" spans="1:21" ht="15" customHeight="1">
      <c r="A55" s="65"/>
      <c r="B55" s="65"/>
      <c r="C55" s="65"/>
      <c r="D55" s="65"/>
      <c r="E55" s="65"/>
      <c r="F55" s="65"/>
      <c r="G55" s="65"/>
      <c r="H55" s="65"/>
      <c r="I55" s="65"/>
      <c r="J55" s="65"/>
      <c r="K55" s="65"/>
      <c r="L55" s="80" t="s">
        <v>97</v>
      </c>
      <c r="M55" s="77" t="s">
        <v>112</v>
      </c>
      <c r="N55" s="77" t="s">
        <v>311</v>
      </c>
      <c r="O55" s="77" t="s">
        <v>284</v>
      </c>
      <c r="P55" s="77" t="s">
        <v>131</v>
      </c>
      <c r="Q55" s="77" t="s">
        <v>285</v>
      </c>
      <c r="R55" s="78" t="s">
        <v>312</v>
      </c>
      <c r="S55" s="77" t="s">
        <v>195</v>
      </c>
      <c r="T55" s="6" t="s">
        <v>286</v>
      </c>
      <c r="U55" s="6"/>
    </row>
    <row r="56" spans="1:21" ht="15" customHeight="1">
      <c r="A56" s="65"/>
      <c r="B56" s="65"/>
      <c r="C56" s="65"/>
      <c r="D56" s="65"/>
      <c r="E56" s="65"/>
      <c r="F56" s="65"/>
      <c r="G56" s="65"/>
      <c r="H56" s="65"/>
      <c r="I56" s="65"/>
      <c r="J56" s="65"/>
      <c r="K56" s="65"/>
      <c r="L56" s="76" t="s">
        <v>97</v>
      </c>
      <c r="M56" s="85" t="s">
        <v>112</v>
      </c>
      <c r="N56" s="85" t="s">
        <v>313</v>
      </c>
      <c r="O56" s="90" t="s">
        <v>314</v>
      </c>
      <c r="P56" s="77" t="s">
        <v>117</v>
      </c>
      <c r="Q56" s="77" t="s">
        <v>285</v>
      </c>
      <c r="R56" s="78" t="s">
        <v>119</v>
      </c>
      <c r="S56" s="77" t="s">
        <v>120</v>
      </c>
      <c r="T56" s="77" t="s">
        <v>121</v>
      </c>
      <c r="U56" s="6"/>
    </row>
    <row r="57" spans="1:21" ht="15" customHeight="1">
      <c r="A57" s="65"/>
      <c r="B57" s="65"/>
      <c r="C57" s="65"/>
      <c r="D57" s="65"/>
      <c r="E57" s="65"/>
      <c r="F57" s="65"/>
      <c r="G57" s="65"/>
      <c r="H57" s="65"/>
      <c r="I57" s="65"/>
      <c r="J57" s="65"/>
      <c r="K57" s="65"/>
      <c r="L57" s="73" t="s">
        <v>97</v>
      </c>
      <c r="M57" s="6" t="s">
        <v>138</v>
      </c>
      <c r="N57" s="6" t="s">
        <v>315</v>
      </c>
      <c r="O57" s="6" t="s">
        <v>316</v>
      </c>
      <c r="P57" s="6" t="s">
        <v>117</v>
      </c>
      <c r="Q57" s="6" t="s">
        <v>118</v>
      </c>
      <c r="R57" s="70" t="s">
        <v>317</v>
      </c>
      <c r="S57" s="6" t="s">
        <v>195</v>
      </c>
      <c r="T57" s="6" t="s">
        <v>176</v>
      </c>
      <c r="U57" s="13" t="s">
        <v>318</v>
      </c>
    </row>
    <row r="58" spans="1:21" ht="15" customHeight="1">
      <c r="A58" s="65"/>
      <c r="B58" s="65"/>
      <c r="C58" s="65"/>
      <c r="D58" s="65"/>
      <c r="E58" s="65"/>
      <c r="F58" s="65"/>
      <c r="G58" s="65"/>
      <c r="H58" s="65"/>
      <c r="I58" s="65"/>
      <c r="J58" s="65"/>
      <c r="K58" s="65"/>
      <c r="L58" s="73" t="s">
        <v>97</v>
      </c>
      <c r="M58" s="6" t="s">
        <v>138</v>
      </c>
      <c r="N58" s="6" t="s">
        <v>319</v>
      </c>
      <c r="O58" s="6" t="s">
        <v>320</v>
      </c>
      <c r="P58" s="6" t="s">
        <v>131</v>
      </c>
      <c r="Q58" s="6" t="s">
        <v>132</v>
      </c>
      <c r="R58" s="70" t="s">
        <v>317</v>
      </c>
      <c r="S58" s="6" t="s">
        <v>195</v>
      </c>
      <c r="T58" s="6" t="s">
        <v>176</v>
      </c>
      <c r="U58" s="13" t="s">
        <v>321</v>
      </c>
    </row>
    <row r="59" spans="1:21" ht="15" customHeight="1">
      <c r="A59" s="65"/>
      <c r="B59" s="65"/>
      <c r="C59" s="65"/>
      <c r="D59" s="65"/>
      <c r="E59" s="65"/>
      <c r="F59" s="65"/>
      <c r="G59" s="65"/>
      <c r="H59" s="65"/>
      <c r="I59" s="65"/>
      <c r="J59" s="65"/>
      <c r="K59" s="65"/>
      <c r="L59" s="73" t="s">
        <v>97</v>
      </c>
      <c r="M59" s="6" t="s">
        <v>138</v>
      </c>
      <c r="N59" s="6" t="s">
        <v>322</v>
      </c>
      <c r="O59" s="6" t="s">
        <v>323</v>
      </c>
      <c r="P59" s="6" t="s">
        <v>131</v>
      </c>
      <c r="Q59" s="6" t="s">
        <v>132</v>
      </c>
      <c r="R59" s="70" t="s">
        <v>324</v>
      </c>
      <c r="S59" s="6" t="s">
        <v>195</v>
      </c>
      <c r="T59" s="6" t="s">
        <v>133</v>
      </c>
      <c r="U59" s="13" t="s">
        <v>325</v>
      </c>
    </row>
    <row r="60" spans="1:21" ht="15" customHeight="1">
      <c r="A60" s="65"/>
      <c r="B60" s="65"/>
      <c r="C60" s="65"/>
      <c r="D60" s="65"/>
      <c r="E60" s="65"/>
      <c r="F60" s="65"/>
      <c r="G60" s="65"/>
      <c r="H60" s="65"/>
      <c r="I60" s="65"/>
      <c r="J60" s="65"/>
      <c r="K60" s="65"/>
      <c r="L60" s="73" t="s">
        <v>97</v>
      </c>
      <c r="M60" s="6" t="s">
        <v>138</v>
      </c>
      <c r="N60" s="6" t="s">
        <v>326</v>
      </c>
      <c r="O60" s="6" t="s">
        <v>327</v>
      </c>
      <c r="P60" s="6" t="s">
        <v>117</v>
      </c>
      <c r="Q60" s="6" t="s">
        <v>118</v>
      </c>
      <c r="R60" s="70" t="s">
        <v>324</v>
      </c>
      <c r="S60" s="6" t="s">
        <v>195</v>
      </c>
      <c r="T60" s="6" t="s">
        <v>133</v>
      </c>
      <c r="U60" s="13" t="s">
        <v>328</v>
      </c>
    </row>
    <row r="61" spans="1:21" ht="15" customHeight="1">
      <c r="A61" s="65"/>
      <c r="B61" s="65"/>
      <c r="C61" s="65"/>
      <c r="D61" s="65"/>
      <c r="E61" s="65"/>
      <c r="F61" s="65"/>
      <c r="G61" s="65"/>
      <c r="H61" s="65"/>
      <c r="I61" s="65"/>
      <c r="J61" s="65"/>
      <c r="K61" s="65"/>
      <c r="L61" s="73" t="s">
        <v>97</v>
      </c>
      <c r="M61" s="6" t="s">
        <v>147</v>
      </c>
      <c r="N61" s="6" t="s">
        <v>329</v>
      </c>
      <c r="O61" s="6" t="s">
        <v>330</v>
      </c>
      <c r="P61" s="6" t="s">
        <v>117</v>
      </c>
      <c r="Q61" s="6" t="s">
        <v>118</v>
      </c>
      <c r="R61" s="70" t="s">
        <v>331</v>
      </c>
      <c r="S61" s="6" t="s">
        <v>195</v>
      </c>
      <c r="T61" s="6" t="s">
        <v>176</v>
      </c>
      <c r="U61" s="13" t="s">
        <v>332</v>
      </c>
    </row>
    <row r="62" spans="1:21" ht="15" customHeight="1">
      <c r="A62" s="65"/>
      <c r="B62" s="65"/>
      <c r="C62" s="65"/>
      <c r="D62" s="65"/>
      <c r="E62" s="65"/>
      <c r="F62" s="65"/>
      <c r="G62" s="65"/>
      <c r="H62" s="65"/>
      <c r="I62" s="65"/>
      <c r="J62" s="65"/>
      <c r="K62" s="65"/>
      <c r="L62" s="73" t="s">
        <v>97</v>
      </c>
      <c r="M62" s="6" t="s">
        <v>147</v>
      </c>
      <c r="N62" s="6" t="s">
        <v>333</v>
      </c>
      <c r="O62" s="6" t="s">
        <v>334</v>
      </c>
      <c r="P62" s="6" t="s">
        <v>131</v>
      </c>
      <c r="Q62" s="6" t="s">
        <v>132</v>
      </c>
      <c r="R62" s="70" t="s">
        <v>331</v>
      </c>
      <c r="S62" s="6" t="s">
        <v>195</v>
      </c>
      <c r="T62" s="6" t="s">
        <v>176</v>
      </c>
      <c r="U62" s="13" t="s">
        <v>335</v>
      </c>
    </row>
    <row r="63" spans="1:21" ht="15" customHeight="1">
      <c r="A63" s="65"/>
      <c r="B63" s="65"/>
      <c r="C63" s="65"/>
      <c r="D63" s="65"/>
      <c r="E63" s="65"/>
      <c r="F63" s="65"/>
      <c r="G63" s="65"/>
      <c r="H63" s="65"/>
      <c r="I63" s="65"/>
      <c r="J63" s="65"/>
      <c r="K63" s="65"/>
      <c r="L63" s="73" t="s">
        <v>97</v>
      </c>
      <c r="M63" s="6" t="s">
        <v>147</v>
      </c>
      <c r="N63" s="6" t="s">
        <v>336</v>
      </c>
      <c r="O63" s="6" t="s">
        <v>337</v>
      </c>
      <c r="P63" s="6" t="s">
        <v>131</v>
      </c>
      <c r="Q63" s="6" t="s">
        <v>132</v>
      </c>
      <c r="R63" s="70" t="s">
        <v>338</v>
      </c>
      <c r="S63" s="6" t="s">
        <v>195</v>
      </c>
      <c r="T63" s="6" t="s">
        <v>133</v>
      </c>
      <c r="U63" s="13" t="s">
        <v>339</v>
      </c>
    </row>
    <row r="64" spans="1:21" ht="15" customHeight="1">
      <c r="A64" s="65"/>
      <c r="B64" s="65"/>
      <c r="C64" s="65"/>
      <c r="D64" s="65"/>
      <c r="E64" s="65"/>
      <c r="F64" s="65"/>
      <c r="G64" s="65"/>
      <c r="H64" s="65"/>
      <c r="I64" s="65"/>
      <c r="J64" s="65"/>
      <c r="K64" s="65"/>
      <c r="L64" s="76" t="s">
        <v>97</v>
      </c>
      <c r="M64" s="77" t="s">
        <v>147</v>
      </c>
      <c r="N64" s="77" t="s">
        <v>340</v>
      </c>
      <c r="O64" s="77" t="s">
        <v>341</v>
      </c>
      <c r="P64" s="77" t="s">
        <v>117</v>
      </c>
      <c r="Q64" s="77" t="s">
        <v>118</v>
      </c>
      <c r="R64" s="78" t="s">
        <v>338</v>
      </c>
      <c r="S64" s="77" t="s">
        <v>195</v>
      </c>
      <c r="T64" s="77" t="s">
        <v>133</v>
      </c>
      <c r="U64" s="91" t="s">
        <v>342</v>
      </c>
    </row>
    <row r="65" spans="1:21" ht="15" customHeight="1">
      <c r="A65" s="65"/>
      <c r="B65" s="65"/>
      <c r="C65" s="65"/>
      <c r="D65" s="65"/>
      <c r="E65" s="65"/>
      <c r="F65" s="65"/>
      <c r="G65" s="65"/>
      <c r="H65" s="65"/>
      <c r="I65" s="65"/>
      <c r="J65" s="65"/>
      <c r="K65" s="65"/>
      <c r="L65" s="76" t="s">
        <v>97</v>
      </c>
      <c r="M65" s="77" t="s">
        <v>126</v>
      </c>
      <c r="N65" s="77" t="s">
        <v>343</v>
      </c>
      <c r="O65" s="77" t="s">
        <v>344</v>
      </c>
      <c r="P65" s="77" t="s">
        <v>304</v>
      </c>
      <c r="Q65" s="77" t="s">
        <v>285</v>
      </c>
      <c r="R65" s="78" t="s">
        <v>257</v>
      </c>
      <c r="S65" s="77" t="s">
        <v>195</v>
      </c>
      <c r="T65" s="77" t="s">
        <v>133</v>
      </c>
      <c r="U65" s="77" t="s">
        <v>203</v>
      </c>
    </row>
    <row r="66" spans="1:21" ht="15" customHeight="1">
      <c r="A66" s="65"/>
      <c r="B66" s="65"/>
      <c r="C66" s="65"/>
      <c r="D66" s="65"/>
      <c r="E66" s="65"/>
      <c r="F66" s="65"/>
      <c r="G66" s="65"/>
      <c r="H66" s="65"/>
      <c r="I66" s="65"/>
      <c r="J66" s="65"/>
      <c r="K66" s="65"/>
      <c r="L66" s="73" t="s">
        <v>97</v>
      </c>
      <c r="M66" s="6" t="s">
        <v>126</v>
      </c>
      <c r="N66" s="6" t="s">
        <v>345</v>
      </c>
      <c r="O66" s="6" t="s">
        <v>346</v>
      </c>
      <c r="P66" s="6" t="s">
        <v>304</v>
      </c>
      <c r="Q66" s="6" t="s">
        <v>285</v>
      </c>
      <c r="R66" s="70" t="s">
        <v>257</v>
      </c>
      <c r="S66" s="6" t="s">
        <v>195</v>
      </c>
      <c r="T66" s="6" t="s">
        <v>133</v>
      </c>
      <c r="U66" s="6" t="s">
        <v>203</v>
      </c>
    </row>
    <row r="67" spans="1:21" ht="15" customHeight="1">
      <c r="A67" s="65"/>
      <c r="B67" s="65"/>
      <c r="C67" s="65"/>
      <c r="D67" s="65"/>
      <c r="E67" s="65"/>
      <c r="F67" s="65"/>
      <c r="G67" s="65"/>
      <c r="H67" s="65"/>
      <c r="I67" s="65"/>
      <c r="J67" s="65"/>
      <c r="K67" s="65"/>
      <c r="L67" s="79" t="s">
        <v>97</v>
      </c>
      <c r="M67" s="81" t="s">
        <v>156</v>
      </c>
      <c r="N67" s="81" t="s">
        <v>347</v>
      </c>
      <c r="O67" s="83" t="s">
        <v>348</v>
      </c>
      <c r="P67" s="6" t="s">
        <v>117</v>
      </c>
      <c r="Q67" s="6" t="s">
        <v>118</v>
      </c>
      <c r="R67" s="70" t="s">
        <v>119</v>
      </c>
      <c r="S67" s="6" t="s">
        <v>120</v>
      </c>
      <c r="T67" s="6" t="s">
        <v>121</v>
      </c>
      <c r="U67" s="6"/>
    </row>
    <row r="68" spans="1:21" ht="15" customHeight="1">
      <c r="A68" s="65"/>
      <c r="B68" s="65"/>
      <c r="C68" s="65"/>
      <c r="D68" s="65"/>
      <c r="E68" s="65"/>
      <c r="F68" s="65"/>
      <c r="G68" s="65"/>
      <c r="H68" s="65"/>
      <c r="I68" s="65"/>
      <c r="J68" s="65"/>
      <c r="K68" s="65"/>
      <c r="L68" s="73" t="s">
        <v>97</v>
      </c>
      <c r="M68" s="6" t="s">
        <v>163</v>
      </c>
      <c r="N68" s="6" t="s">
        <v>349</v>
      </c>
      <c r="O68" s="6" t="s">
        <v>203</v>
      </c>
      <c r="P68" s="6" t="s">
        <v>117</v>
      </c>
      <c r="Q68" s="6" t="s">
        <v>118</v>
      </c>
      <c r="R68" s="70" t="s">
        <v>257</v>
      </c>
      <c r="S68" s="6" t="s">
        <v>282</v>
      </c>
      <c r="T68" s="6" t="s">
        <v>121</v>
      </c>
      <c r="U68" s="6" t="s">
        <v>203</v>
      </c>
    </row>
    <row r="69" spans="1:21" ht="15" customHeight="1">
      <c r="A69" s="65"/>
      <c r="B69" s="65"/>
      <c r="C69" s="65"/>
      <c r="D69" s="65"/>
      <c r="E69" s="65"/>
      <c r="F69" s="65"/>
      <c r="G69" s="65"/>
      <c r="H69" s="65"/>
      <c r="I69" s="65"/>
      <c r="J69" s="65"/>
      <c r="K69" s="65"/>
      <c r="L69" s="73" t="s">
        <v>97</v>
      </c>
      <c r="M69" s="6" t="s">
        <v>163</v>
      </c>
      <c r="N69" s="6" t="s">
        <v>350</v>
      </c>
      <c r="O69" s="6" t="s">
        <v>351</v>
      </c>
      <c r="P69" s="6" t="s">
        <v>131</v>
      </c>
      <c r="Q69" s="6" t="s">
        <v>118</v>
      </c>
      <c r="R69" s="70" t="s">
        <v>257</v>
      </c>
      <c r="S69" s="6" t="s">
        <v>282</v>
      </c>
      <c r="T69" s="6" t="s">
        <v>176</v>
      </c>
      <c r="U69" s="6" t="s">
        <v>203</v>
      </c>
    </row>
    <row r="70" spans="1:21" ht="15" customHeight="1">
      <c r="A70" s="65"/>
      <c r="B70" s="65"/>
      <c r="C70" s="65"/>
      <c r="D70" s="65"/>
      <c r="E70" s="65"/>
      <c r="F70" s="65"/>
      <c r="G70" s="65"/>
      <c r="H70" s="65"/>
      <c r="I70" s="65"/>
      <c r="J70" s="65"/>
      <c r="K70" s="65"/>
      <c r="L70" s="73" t="s">
        <v>97</v>
      </c>
      <c r="M70" s="6" t="s">
        <v>163</v>
      </c>
      <c r="N70" s="6" t="s">
        <v>352</v>
      </c>
      <c r="O70" s="6" t="s">
        <v>353</v>
      </c>
      <c r="P70" s="6" t="s">
        <v>131</v>
      </c>
      <c r="Q70" s="6" t="s">
        <v>118</v>
      </c>
      <c r="R70" s="70" t="s">
        <v>257</v>
      </c>
      <c r="S70" s="6" t="s">
        <v>282</v>
      </c>
      <c r="T70" s="6" t="s">
        <v>176</v>
      </c>
      <c r="U70" s="13" t="s">
        <v>354</v>
      </c>
    </row>
    <row r="71" spans="1:21" ht="15" customHeight="1">
      <c r="A71" s="65"/>
      <c r="B71" s="65"/>
      <c r="C71" s="65"/>
      <c r="D71" s="65"/>
      <c r="E71" s="65"/>
      <c r="F71" s="65"/>
      <c r="G71" s="65"/>
      <c r="H71" s="65"/>
      <c r="I71" s="65"/>
      <c r="J71" s="65"/>
      <c r="K71" s="65"/>
      <c r="L71" s="79" t="s">
        <v>97</v>
      </c>
      <c r="M71" s="6" t="s">
        <v>170</v>
      </c>
      <c r="N71" s="6" t="s">
        <v>355</v>
      </c>
      <c r="O71" s="6" t="s">
        <v>356</v>
      </c>
      <c r="P71" s="6" t="s">
        <v>117</v>
      </c>
      <c r="Q71" s="6" t="s">
        <v>285</v>
      </c>
      <c r="R71" s="70" t="s">
        <v>357</v>
      </c>
      <c r="S71" s="6" t="s">
        <v>195</v>
      </c>
      <c r="T71" s="6" t="s">
        <v>286</v>
      </c>
      <c r="U71" s="6" t="s">
        <v>358</v>
      </c>
    </row>
    <row r="72" spans="1:21" ht="15" customHeight="1">
      <c r="A72" s="65"/>
      <c r="B72" s="65"/>
      <c r="C72" s="65"/>
      <c r="D72" s="65"/>
      <c r="E72" s="65"/>
      <c r="F72" s="65"/>
      <c r="G72" s="65"/>
      <c r="H72" s="65"/>
      <c r="I72" s="65"/>
      <c r="J72" s="65"/>
      <c r="K72" s="65"/>
      <c r="L72" s="79" t="s">
        <v>97</v>
      </c>
      <c r="M72" s="6" t="s">
        <v>170</v>
      </c>
      <c r="N72" s="6" t="s">
        <v>359</v>
      </c>
      <c r="O72" s="6" t="s">
        <v>360</v>
      </c>
      <c r="P72" s="6" t="s">
        <v>117</v>
      </c>
      <c r="Q72" s="6" t="s">
        <v>285</v>
      </c>
      <c r="R72" s="70" t="s">
        <v>361</v>
      </c>
      <c r="S72" s="6" t="s">
        <v>195</v>
      </c>
      <c r="T72" s="6" t="s">
        <v>286</v>
      </c>
      <c r="U72" s="6" t="s">
        <v>362</v>
      </c>
    </row>
    <row r="73" spans="1:21" ht="15" customHeight="1">
      <c r="A73" s="65"/>
      <c r="B73" s="65"/>
      <c r="C73" s="65"/>
      <c r="D73" s="65"/>
      <c r="E73" s="65"/>
      <c r="F73" s="65"/>
      <c r="G73" s="65"/>
      <c r="H73" s="65"/>
      <c r="I73" s="65"/>
      <c r="J73" s="65"/>
      <c r="K73" s="65"/>
      <c r="L73" s="79" t="s">
        <v>97</v>
      </c>
      <c r="M73" s="6" t="s">
        <v>170</v>
      </c>
      <c r="N73" s="6" t="s">
        <v>363</v>
      </c>
      <c r="O73" s="6" t="s">
        <v>364</v>
      </c>
      <c r="P73" s="6" t="s">
        <v>117</v>
      </c>
      <c r="Q73" s="6" t="s">
        <v>285</v>
      </c>
      <c r="R73" s="70" t="s">
        <v>361</v>
      </c>
      <c r="S73" s="6" t="s">
        <v>195</v>
      </c>
      <c r="T73" s="6" t="s">
        <v>286</v>
      </c>
      <c r="U73" s="6" t="s">
        <v>365</v>
      </c>
    </row>
    <row r="74" spans="1:21" ht="15" customHeight="1">
      <c r="A74" s="65"/>
      <c r="B74" s="65"/>
      <c r="C74" s="65"/>
      <c r="D74" s="65"/>
      <c r="E74" s="65"/>
      <c r="F74" s="65"/>
      <c r="G74" s="65"/>
      <c r="H74" s="65"/>
      <c r="I74" s="65"/>
      <c r="J74" s="65"/>
      <c r="K74" s="65"/>
      <c r="L74" s="79" t="s">
        <v>97</v>
      </c>
      <c r="M74" s="6" t="s">
        <v>170</v>
      </c>
      <c r="N74" s="6" t="s">
        <v>366</v>
      </c>
      <c r="O74" s="6" t="s">
        <v>367</v>
      </c>
      <c r="P74" s="6" t="s">
        <v>117</v>
      </c>
      <c r="Q74" s="6" t="s">
        <v>285</v>
      </c>
      <c r="R74" s="70" t="s">
        <v>361</v>
      </c>
      <c r="S74" s="6" t="s">
        <v>195</v>
      </c>
      <c r="T74" s="6" t="s">
        <v>286</v>
      </c>
      <c r="U74" s="6" t="s">
        <v>368</v>
      </c>
    </row>
    <row r="75" spans="1:21" ht="15" customHeight="1">
      <c r="A75" s="65"/>
      <c r="B75" s="65"/>
      <c r="C75" s="65"/>
      <c r="D75" s="65"/>
      <c r="E75" s="65"/>
      <c r="F75" s="65"/>
      <c r="G75" s="65"/>
      <c r="H75" s="65"/>
      <c r="I75" s="65"/>
      <c r="J75" s="65"/>
      <c r="K75" s="65"/>
      <c r="L75" s="79" t="s">
        <v>97</v>
      </c>
      <c r="M75" s="6" t="s">
        <v>170</v>
      </c>
      <c r="N75" s="6" t="s">
        <v>369</v>
      </c>
      <c r="O75" s="6" t="s">
        <v>370</v>
      </c>
      <c r="P75" s="6" t="s">
        <v>117</v>
      </c>
      <c r="Q75" s="6" t="s">
        <v>285</v>
      </c>
      <c r="R75" s="70" t="s">
        <v>119</v>
      </c>
      <c r="S75" s="6" t="s">
        <v>120</v>
      </c>
      <c r="T75" s="6" t="s">
        <v>286</v>
      </c>
      <c r="U75" s="6" t="s">
        <v>371</v>
      </c>
    </row>
    <row r="76" spans="1:21" ht="15" customHeight="1">
      <c r="A76" s="65"/>
      <c r="B76" s="65"/>
      <c r="C76" s="65"/>
      <c r="D76" s="65"/>
      <c r="E76" s="65"/>
      <c r="F76" s="65"/>
      <c r="G76" s="65"/>
      <c r="H76" s="65"/>
      <c r="I76" s="65"/>
      <c r="J76" s="65"/>
      <c r="K76" s="65"/>
      <c r="L76" s="73" t="s">
        <v>97</v>
      </c>
      <c r="M76" s="6" t="s">
        <v>170</v>
      </c>
      <c r="N76" s="6" t="s">
        <v>372</v>
      </c>
      <c r="O76" s="6" t="s">
        <v>373</v>
      </c>
      <c r="P76" s="6" t="s">
        <v>117</v>
      </c>
      <c r="Q76" s="6" t="s">
        <v>285</v>
      </c>
      <c r="R76" s="70" t="s">
        <v>374</v>
      </c>
      <c r="S76" s="6" t="s">
        <v>257</v>
      </c>
      <c r="T76" s="6" t="s">
        <v>133</v>
      </c>
      <c r="U76" s="6" t="s">
        <v>203</v>
      </c>
    </row>
    <row r="77" spans="1:21" ht="15" customHeight="1">
      <c r="A77" s="65"/>
      <c r="B77" s="65"/>
      <c r="C77" s="65"/>
      <c r="D77" s="65"/>
      <c r="E77" s="65"/>
      <c r="F77" s="65"/>
      <c r="G77" s="65"/>
      <c r="H77" s="65"/>
      <c r="I77" s="65"/>
      <c r="J77" s="65"/>
      <c r="K77" s="65"/>
      <c r="L77" s="79" t="s">
        <v>97</v>
      </c>
      <c r="M77" s="6" t="s">
        <v>170</v>
      </c>
      <c r="N77" s="6" t="s">
        <v>375</v>
      </c>
      <c r="O77" s="6" t="s">
        <v>376</v>
      </c>
      <c r="P77" s="6" t="s">
        <v>117</v>
      </c>
      <c r="Q77" s="6" t="s">
        <v>285</v>
      </c>
      <c r="R77" s="70" t="s">
        <v>119</v>
      </c>
      <c r="S77" s="6" t="s">
        <v>120</v>
      </c>
      <c r="T77" s="6" t="s">
        <v>286</v>
      </c>
      <c r="U77" s="6" t="s">
        <v>377</v>
      </c>
    </row>
    <row r="78" spans="1:21" ht="15" customHeight="1">
      <c r="A78" s="65"/>
      <c r="B78" s="65"/>
      <c r="C78" s="65"/>
      <c r="D78" s="65"/>
      <c r="E78" s="65"/>
      <c r="F78" s="65"/>
      <c r="G78" s="65"/>
      <c r="H78" s="65"/>
      <c r="I78" s="65"/>
      <c r="J78" s="65"/>
      <c r="K78" s="65"/>
      <c r="L78" s="73" t="s">
        <v>97</v>
      </c>
      <c r="M78" s="6" t="s">
        <v>170</v>
      </c>
      <c r="N78" s="6" t="s">
        <v>378</v>
      </c>
      <c r="O78" s="6" t="s">
        <v>373</v>
      </c>
      <c r="P78" s="6" t="s">
        <v>117</v>
      </c>
      <c r="Q78" s="6" t="s">
        <v>285</v>
      </c>
      <c r="R78" s="70" t="s">
        <v>374</v>
      </c>
      <c r="S78" s="6" t="s">
        <v>257</v>
      </c>
      <c r="T78" s="6" t="s">
        <v>133</v>
      </c>
      <c r="U78" s="6" t="s">
        <v>203</v>
      </c>
    </row>
    <row r="79" spans="1:21" ht="15" customHeight="1">
      <c r="A79" s="65"/>
      <c r="B79" s="65"/>
      <c r="C79" s="65"/>
      <c r="D79" s="65"/>
      <c r="E79" s="65"/>
      <c r="F79" s="65"/>
      <c r="G79" s="65"/>
      <c r="H79" s="65"/>
      <c r="I79" s="65"/>
      <c r="J79" s="65"/>
      <c r="K79" s="65"/>
      <c r="L79" s="79" t="s">
        <v>97</v>
      </c>
      <c r="M79" s="6" t="s">
        <v>170</v>
      </c>
      <c r="N79" s="6" t="s">
        <v>379</v>
      </c>
      <c r="O79" s="6" t="s">
        <v>376</v>
      </c>
      <c r="P79" s="6" t="s">
        <v>117</v>
      </c>
      <c r="Q79" s="6" t="s">
        <v>285</v>
      </c>
      <c r="R79" s="70" t="s">
        <v>119</v>
      </c>
      <c r="S79" s="6" t="s">
        <v>120</v>
      </c>
      <c r="T79" s="6" t="s">
        <v>286</v>
      </c>
      <c r="U79" s="6" t="s">
        <v>380</v>
      </c>
    </row>
    <row r="80" spans="1:21" ht="15" customHeight="1">
      <c r="A80" s="65"/>
      <c r="B80" s="65"/>
      <c r="C80" s="65"/>
      <c r="D80" s="65"/>
      <c r="E80" s="65"/>
      <c r="F80" s="65"/>
      <c r="G80" s="65"/>
      <c r="H80" s="65"/>
      <c r="I80" s="65"/>
      <c r="J80" s="65"/>
      <c r="K80" s="65"/>
      <c r="L80" s="73" t="s">
        <v>97</v>
      </c>
      <c r="M80" s="6" t="s">
        <v>170</v>
      </c>
      <c r="N80" s="6" t="s">
        <v>381</v>
      </c>
      <c r="O80" s="6" t="s">
        <v>382</v>
      </c>
      <c r="P80" s="6" t="s">
        <v>117</v>
      </c>
      <c r="Q80" s="6" t="s">
        <v>285</v>
      </c>
      <c r="R80" s="70" t="s">
        <v>119</v>
      </c>
      <c r="S80" s="6" t="s">
        <v>120</v>
      </c>
      <c r="T80" s="6" t="s">
        <v>133</v>
      </c>
      <c r="U80" s="6" t="s">
        <v>203</v>
      </c>
    </row>
    <row r="81" spans="1:21" ht="15" customHeight="1">
      <c r="A81" s="65"/>
      <c r="B81" s="65"/>
      <c r="C81" s="65"/>
      <c r="D81" s="65"/>
      <c r="E81" s="65"/>
      <c r="F81" s="65"/>
      <c r="G81" s="65"/>
      <c r="H81" s="65"/>
      <c r="I81" s="65"/>
      <c r="J81" s="65"/>
      <c r="K81" s="65"/>
      <c r="L81" s="79" t="s">
        <v>97</v>
      </c>
      <c r="M81" s="6" t="s">
        <v>170</v>
      </c>
      <c r="N81" s="6" t="s">
        <v>383</v>
      </c>
      <c r="O81" s="6" t="s">
        <v>384</v>
      </c>
      <c r="P81" s="6" t="s">
        <v>117</v>
      </c>
      <c r="Q81" s="6" t="s">
        <v>285</v>
      </c>
      <c r="R81" s="70" t="s">
        <v>361</v>
      </c>
      <c r="S81" s="6" t="s">
        <v>195</v>
      </c>
      <c r="T81" s="6" t="s">
        <v>286</v>
      </c>
      <c r="U81" s="6" t="s">
        <v>385</v>
      </c>
    </row>
    <row r="82" spans="1:21" ht="15" customHeight="1">
      <c r="A82" s="65"/>
      <c r="B82" s="65"/>
      <c r="C82" s="65"/>
      <c r="D82" s="65"/>
      <c r="E82" s="65"/>
      <c r="F82" s="65"/>
      <c r="G82" s="65"/>
      <c r="H82" s="65"/>
      <c r="I82" s="65"/>
      <c r="J82" s="65"/>
      <c r="K82" s="65"/>
      <c r="L82" s="79" t="s">
        <v>97</v>
      </c>
      <c r="M82" s="6" t="s">
        <v>179</v>
      </c>
      <c r="N82" s="6" t="s">
        <v>386</v>
      </c>
      <c r="O82" s="6" t="s">
        <v>387</v>
      </c>
      <c r="P82" s="6" t="s">
        <v>117</v>
      </c>
      <c r="Q82" s="6" t="s">
        <v>118</v>
      </c>
      <c r="R82" s="70" t="s">
        <v>119</v>
      </c>
      <c r="S82" s="6" t="s">
        <v>120</v>
      </c>
      <c r="T82" s="6" t="s">
        <v>286</v>
      </c>
      <c r="U82" s="6"/>
    </row>
    <row r="83" spans="1:21" ht="15" customHeight="1">
      <c r="A83" s="65"/>
      <c r="B83" s="65"/>
      <c r="C83" s="65"/>
      <c r="D83" s="65"/>
      <c r="E83" s="65"/>
      <c r="F83" s="65"/>
      <c r="G83" s="65"/>
      <c r="H83" s="65"/>
      <c r="I83" s="65"/>
      <c r="J83" s="65"/>
      <c r="K83" s="65"/>
      <c r="L83" s="79" t="s">
        <v>97</v>
      </c>
      <c r="M83" s="6" t="s">
        <v>185</v>
      </c>
      <c r="N83" s="6" t="s">
        <v>388</v>
      </c>
      <c r="O83" s="6" t="s">
        <v>389</v>
      </c>
      <c r="P83" s="6" t="s">
        <v>131</v>
      </c>
      <c r="Q83" s="6" t="s">
        <v>285</v>
      </c>
      <c r="R83" s="70" t="s">
        <v>390</v>
      </c>
      <c r="S83" s="6" t="s">
        <v>120</v>
      </c>
      <c r="T83" s="6" t="s">
        <v>286</v>
      </c>
      <c r="U83" s="6" t="s">
        <v>391</v>
      </c>
    </row>
    <row r="84" spans="1:21" ht="15" customHeight="1">
      <c r="A84" s="65"/>
      <c r="B84" s="65"/>
      <c r="C84" s="65"/>
      <c r="D84" s="65"/>
      <c r="E84" s="65"/>
      <c r="F84" s="65"/>
      <c r="G84" s="65"/>
      <c r="H84" s="65"/>
      <c r="I84" s="65"/>
      <c r="J84" s="65"/>
      <c r="K84" s="65"/>
      <c r="L84" s="73" t="s">
        <v>97</v>
      </c>
      <c r="M84" s="6" t="s">
        <v>185</v>
      </c>
      <c r="N84" s="6" t="s">
        <v>392</v>
      </c>
      <c r="O84" s="6" t="s">
        <v>393</v>
      </c>
      <c r="P84" s="6" t="s">
        <v>117</v>
      </c>
      <c r="Q84" s="6" t="s">
        <v>118</v>
      </c>
      <c r="R84" s="70" t="s">
        <v>119</v>
      </c>
      <c r="S84" s="6" t="s">
        <v>120</v>
      </c>
      <c r="T84" s="6" t="s">
        <v>176</v>
      </c>
      <c r="U84" s="6"/>
    </row>
    <row r="85" spans="1:21" ht="15" customHeight="1">
      <c r="A85" s="65"/>
      <c r="B85" s="65"/>
      <c r="C85" s="65"/>
      <c r="D85" s="65"/>
      <c r="E85" s="65"/>
      <c r="F85" s="65"/>
      <c r="G85" s="65"/>
      <c r="H85" s="65"/>
      <c r="I85" s="65"/>
      <c r="J85" s="65"/>
      <c r="K85" s="65"/>
      <c r="L85" s="73" t="s">
        <v>97</v>
      </c>
      <c r="M85" s="6" t="s">
        <v>185</v>
      </c>
      <c r="N85" s="6" t="s">
        <v>394</v>
      </c>
      <c r="O85" s="6" t="s">
        <v>395</v>
      </c>
      <c r="P85" s="6" t="s">
        <v>117</v>
      </c>
      <c r="Q85" s="6" t="s">
        <v>118</v>
      </c>
      <c r="R85" s="70" t="s">
        <v>119</v>
      </c>
      <c r="S85" s="6" t="s">
        <v>120</v>
      </c>
      <c r="T85" s="6" t="s">
        <v>176</v>
      </c>
      <c r="U85" s="6"/>
    </row>
    <row r="86" spans="1:21" ht="15" customHeight="1">
      <c r="A86" s="65"/>
      <c r="B86" s="65"/>
      <c r="C86" s="65"/>
      <c r="D86" s="65"/>
      <c r="E86" s="65"/>
      <c r="F86" s="65"/>
      <c r="G86" s="65"/>
      <c r="H86" s="65"/>
      <c r="I86" s="65"/>
      <c r="J86" s="65"/>
      <c r="K86" s="65"/>
      <c r="L86" s="79" t="s">
        <v>97</v>
      </c>
      <c r="M86" s="6" t="s">
        <v>185</v>
      </c>
      <c r="N86" s="6" t="s">
        <v>396</v>
      </c>
      <c r="O86" s="6" t="s">
        <v>397</v>
      </c>
      <c r="P86" s="6" t="s">
        <v>131</v>
      </c>
      <c r="Q86" s="6" t="s">
        <v>285</v>
      </c>
      <c r="R86" s="70" t="s">
        <v>119</v>
      </c>
      <c r="S86" s="6" t="s">
        <v>120</v>
      </c>
      <c r="T86" s="6" t="s">
        <v>296</v>
      </c>
      <c r="U86" s="6"/>
    </row>
    <row r="87" spans="1:21" ht="15" customHeight="1">
      <c r="A87" s="65"/>
      <c r="B87" s="65"/>
      <c r="C87" s="65"/>
      <c r="D87" s="65"/>
      <c r="E87" s="65"/>
      <c r="F87" s="65"/>
      <c r="G87" s="65"/>
      <c r="H87" s="65"/>
      <c r="I87" s="65"/>
      <c r="J87" s="65"/>
      <c r="K87" s="65"/>
      <c r="L87" s="79" t="s">
        <v>97</v>
      </c>
      <c r="M87" s="6" t="s">
        <v>185</v>
      </c>
      <c r="N87" s="6" t="s">
        <v>398</v>
      </c>
      <c r="O87" s="6" t="s">
        <v>399</v>
      </c>
      <c r="P87" s="6" t="s">
        <v>131</v>
      </c>
      <c r="Q87" s="6" t="s">
        <v>285</v>
      </c>
      <c r="R87" s="70" t="s">
        <v>119</v>
      </c>
      <c r="S87" s="6" t="s">
        <v>120</v>
      </c>
      <c r="T87" s="6" t="s">
        <v>203</v>
      </c>
      <c r="U87" s="6"/>
    </row>
    <row r="88" spans="1:21" ht="15" customHeight="1">
      <c r="A88" s="65"/>
      <c r="B88" s="65"/>
      <c r="C88" s="65"/>
      <c r="D88" s="65"/>
      <c r="E88" s="65"/>
      <c r="F88" s="65"/>
      <c r="G88" s="65"/>
      <c r="H88" s="65"/>
      <c r="I88" s="65"/>
      <c r="J88" s="65"/>
      <c r="K88" s="65"/>
      <c r="L88" s="73" t="s">
        <v>97</v>
      </c>
      <c r="M88" s="6" t="s">
        <v>185</v>
      </c>
      <c r="N88" s="6" t="s">
        <v>400</v>
      </c>
      <c r="O88" s="13" t="s">
        <v>401</v>
      </c>
      <c r="P88" s="6" t="s">
        <v>131</v>
      </c>
      <c r="Q88" s="6" t="s">
        <v>132</v>
      </c>
      <c r="R88" s="70" t="s">
        <v>119</v>
      </c>
      <c r="S88" s="6" t="s">
        <v>120</v>
      </c>
      <c r="T88" s="6" t="s">
        <v>121</v>
      </c>
      <c r="U88" s="13" t="s">
        <v>402</v>
      </c>
    </row>
    <row r="89" spans="1:21" ht="15" customHeight="1">
      <c r="A89" s="65"/>
      <c r="B89" s="65"/>
      <c r="C89" s="65"/>
      <c r="D89" s="65"/>
      <c r="E89" s="65"/>
      <c r="F89" s="65"/>
      <c r="G89" s="65"/>
      <c r="H89" s="65"/>
      <c r="I89" s="65"/>
      <c r="J89" s="65"/>
      <c r="K89" s="65"/>
      <c r="L89" s="73" t="s">
        <v>97</v>
      </c>
      <c r="M89" s="6" t="s">
        <v>185</v>
      </c>
      <c r="N89" s="6" t="s">
        <v>403</v>
      </c>
      <c r="O89" s="13" t="s">
        <v>404</v>
      </c>
      <c r="P89" s="6" t="s">
        <v>117</v>
      </c>
      <c r="Q89" s="6" t="s">
        <v>118</v>
      </c>
      <c r="R89" s="70" t="s">
        <v>119</v>
      </c>
      <c r="S89" s="6" t="s">
        <v>120</v>
      </c>
      <c r="T89" s="6" t="s">
        <v>121</v>
      </c>
      <c r="U89" s="13" t="s">
        <v>405</v>
      </c>
    </row>
    <row r="90" spans="1:21" ht="15" customHeight="1">
      <c r="A90" s="65"/>
      <c r="B90" s="65"/>
      <c r="C90" s="65"/>
      <c r="D90" s="65"/>
      <c r="E90" s="65"/>
      <c r="F90" s="65"/>
      <c r="G90" s="65"/>
      <c r="H90" s="65"/>
      <c r="I90" s="65"/>
      <c r="J90" s="65"/>
      <c r="K90" s="65"/>
      <c r="L90" s="73" t="s">
        <v>97</v>
      </c>
      <c r="M90" s="6" t="s">
        <v>185</v>
      </c>
      <c r="N90" s="6" t="s">
        <v>406</v>
      </c>
      <c r="O90" s="13" t="s">
        <v>407</v>
      </c>
      <c r="P90" s="6" t="s">
        <v>131</v>
      </c>
      <c r="Q90" s="6" t="s">
        <v>132</v>
      </c>
      <c r="R90" s="70" t="s">
        <v>119</v>
      </c>
      <c r="S90" s="6" t="s">
        <v>120</v>
      </c>
      <c r="T90" s="6" t="s">
        <v>121</v>
      </c>
      <c r="U90" s="13" t="s">
        <v>408</v>
      </c>
    </row>
    <row r="91" spans="1:21" ht="15" customHeight="1">
      <c r="A91" s="65"/>
      <c r="B91" s="65"/>
      <c r="C91" s="65"/>
      <c r="D91" s="65"/>
      <c r="E91" s="65"/>
      <c r="F91" s="65"/>
      <c r="G91" s="65"/>
      <c r="H91" s="65"/>
      <c r="I91" s="65"/>
      <c r="J91" s="65"/>
      <c r="K91" s="65"/>
      <c r="L91" s="73" t="s">
        <v>97</v>
      </c>
      <c r="M91" s="6" t="s">
        <v>185</v>
      </c>
      <c r="N91" s="6" t="s">
        <v>409</v>
      </c>
      <c r="O91" s="6" t="s">
        <v>410</v>
      </c>
      <c r="P91" s="6" t="s">
        <v>117</v>
      </c>
      <c r="Q91" s="6" t="s">
        <v>118</v>
      </c>
      <c r="R91" s="70" t="s">
        <v>119</v>
      </c>
      <c r="S91" s="6" t="s">
        <v>120</v>
      </c>
      <c r="T91" s="6" t="s">
        <v>133</v>
      </c>
      <c r="U91" s="6"/>
    </row>
    <row r="92" spans="1:21" ht="15" customHeight="1">
      <c r="A92" s="65"/>
      <c r="B92" s="65"/>
      <c r="C92" s="65"/>
      <c r="D92" s="65"/>
      <c r="E92" s="65"/>
      <c r="F92" s="65"/>
      <c r="G92" s="65"/>
      <c r="H92" s="65"/>
      <c r="I92" s="65"/>
      <c r="J92" s="65"/>
      <c r="K92" s="65"/>
      <c r="L92" s="84" t="s">
        <v>97</v>
      </c>
      <c r="M92" s="81" t="s">
        <v>190</v>
      </c>
      <c r="N92" s="85" t="s">
        <v>411</v>
      </c>
      <c r="O92" s="85" t="s">
        <v>412</v>
      </c>
      <c r="P92" s="77" t="s">
        <v>117</v>
      </c>
      <c r="Q92" s="77" t="s">
        <v>118</v>
      </c>
      <c r="R92" s="78" t="s">
        <v>119</v>
      </c>
      <c r="S92" s="77" t="s">
        <v>120</v>
      </c>
      <c r="T92" s="77" t="s">
        <v>121</v>
      </c>
      <c r="U92" s="77"/>
    </row>
    <row r="93" spans="1:21" ht="15" customHeight="1">
      <c r="A93" s="65"/>
      <c r="B93" s="65"/>
      <c r="C93" s="65"/>
      <c r="D93" s="65"/>
      <c r="E93" s="65"/>
      <c r="F93" s="65"/>
      <c r="G93" s="65"/>
      <c r="H93" s="65"/>
      <c r="I93" s="65"/>
      <c r="J93" s="65"/>
      <c r="K93" s="65"/>
      <c r="L93" s="80" t="s">
        <v>97</v>
      </c>
      <c r="M93" s="6" t="s">
        <v>190</v>
      </c>
      <c r="N93" s="6" t="s">
        <v>413</v>
      </c>
      <c r="O93" s="77" t="s">
        <v>414</v>
      </c>
      <c r="P93" s="77" t="s">
        <v>117</v>
      </c>
      <c r="Q93" s="77" t="s">
        <v>285</v>
      </c>
      <c r="R93" s="78" t="s">
        <v>119</v>
      </c>
      <c r="S93" s="6" t="s">
        <v>120</v>
      </c>
      <c r="T93" s="77" t="s">
        <v>296</v>
      </c>
      <c r="U93" s="77"/>
    </row>
    <row r="94" spans="1:21" ht="15" customHeight="1">
      <c r="A94" s="65"/>
      <c r="B94" s="65"/>
      <c r="C94" s="65"/>
      <c r="D94" s="65"/>
      <c r="E94" s="65"/>
      <c r="F94" s="65"/>
      <c r="G94" s="65"/>
      <c r="H94" s="65"/>
      <c r="I94" s="65"/>
      <c r="J94" s="65"/>
      <c r="K94" s="65"/>
      <c r="L94" s="80" t="s">
        <v>97</v>
      </c>
      <c r="M94" s="6" t="s">
        <v>190</v>
      </c>
      <c r="N94" s="6" t="s">
        <v>415</v>
      </c>
      <c r="O94" s="6" t="s">
        <v>416</v>
      </c>
      <c r="P94" s="6" t="s">
        <v>117</v>
      </c>
      <c r="Q94" s="6" t="s">
        <v>285</v>
      </c>
      <c r="R94" s="70" t="s">
        <v>119</v>
      </c>
      <c r="S94" s="6" t="s">
        <v>120</v>
      </c>
      <c r="T94" s="6" t="s">
        <v>296</v>
      </c>
      <c r="U94" s="6"/>
    </row>
    <row r="95" spans="1:21" ht="15" customHeight="1">
      <c r="A95" s="65"/>
      <c r="B95" s="65"/>
      <c r="C95" s="65"/>
      <c r="D95" s="65"/>
      <c r="E95" s="65"/>
      <c r="F95" s="65"/>
      <c r="G95" s="65"/>
      <c r="H95" s="65"/>
      <c r="I95" s="65"/>
      <c r="J95" s="65"/>
      <c r="K95" s="65"/>
      <c r="L95" s="80" t="s">
        <v>97</v>
      </c>
      <c r="M95" s="77" t="s">
        <v>190</v>
      </c>
      <c r="N95" s="77" t="s">
        <v>417</v>
      </c>
      <c r="O95" s="77" t="s">
        <v>418</v>
      </c>
      <c r="P95" s="77" t="s">
        <v>117</v>
      </c>
      <c r="Q95" s="77" t="s">
        <v>285</v>
      </c>
      <c r="R95" s="78" t="s">
        <v>119</v>
      </c>
      <c r="S95" s="6" t="s">
        <v>120</v>
      </c>
      <c r="T95" s="77" t="s">
        <v>296</v>
      </c>
      <c r="U95" s="77"/>
    </row>
    <row r="96" spans="1:21" ht="15" customHeight="1">
      <c r="A96" s="65"/>
      <c r="B96" s="65"/>
      <c r="C96" s="65"/>
      <c r="D96" s="65"/>
      <c r="E96" s="65"/>
      <c r="F96" s="65"/>
      <c r="G96" s="65"/>
      <c r="H96" s="65"/>
      <c r="I96" s="65"/>
      <c r="J96" s="65"/>
      <c r="K96" s="65"/>
      <c r="L96" s="80" t="s">
        <v>97</v>
      </c>
      <c r="M96" s="77" t="s">
        <v>197</v>
      </c>
      <c r="N96" s="77" t="s">
        <v>419</v>
      </c>
      <c r="O96" s="77" t="s">
        <v>420</v>
      </c>
      <c r="P96" s="77" t="s">
        <v>117</v>
      </c>
      <c r="Q96" s="77" t="s">
        <v>285</v>
      </c>
      <c r="R96" s="78" t="s">
        <v>119</v>
      </c>
      <c r="S96" s="6" t="s">
        <v>120</v>
      </c>
      <c r="T96" s="77" t="s">
        <v>286</v>
      </c>
      <c r="U96" s="77"/>
    </row>
    <row r="97" spans="1:21" ht="15" customHeight="1">
      <c r="A97" s="65"/>
      <c r="B97" s="65"/>
      <c r="C97" s="65"/>
      <c r="D97" s="65"/>
      <c r="E97" s="65"/>
      <c r="F97" s="65"/>
      <c r="G97" s="65"/>
      <c r="H97" s="65"/>
      <c r="I97" s="65"/>
      <c r="J97" s="65"/>
      <c r="K97" s="65"/>
      <c r="L97" s="80" t="s">
        <v>97</v>
      </c>
      <c r="M97" s="77" t="s">
        <v>197</v>
      </c>
      <c r="N97" s="77" t="s">
        <v>421</v>
      </c>
      <c r="O97" s="77" t="s">
        <v>422</v>
      </c>
      <c r="P97" s="77" t="s">
        <v>117</v>
      </c>
      <c r="Q97" s="77" t="s">
        <v>285</v>
      </c>
      <c r="R97" s="78" t="s">
        <v>119</v>
      </c>
      <c r="S97" s="6" t="s">
        <v>120</v>
      </c>
      <c r="T97" s="77" t="s">
        <v>286</v>
      </c>
      <c r="U97" s="77"/>
    </row>
    <row r="98" spans="1:21" ht="15" customHeight="1">
      <c r="A98" s="65"/>
      <c r="B98" s="65"/>
      <c r="C98" s="65"/>
      <c r="D98" s="65" t="s">
        <v>423</v>
      </c>
      <c r="E98" s="65"/>
      <c r="F98" s="65"/>
      <c r="G98" s="65"/>
      <c r="H98" s="65"/>
      <c r="I98" s="65"/>
      <c r="J98" s="65"/>
      <c r="K98" s="65"/>
      <c r="L98" s="80" t="s">
        <v>97</v>
      </c>
      <c r="M98" s="77" t="s">
        <v>197</v>
      </c>
      <c r="N98" s="77" t="s">
        <v>424</v>
      </c>
      <c r="O98" s="77" t="s">
        <v>425</v>
      </c>
      <c r="P98" s="77" t="s">
        <v>117</v>
      </c>
      <c r="Q98" s="77" t="s">
        <v>285</v>
      </c>
      <c r="R98" s="78" t="s">
        <v>281</v>
      </c>
      <c r="S98" s="6" t="s">
        <v>120</v>
      </c>
      <c r="T98" s="77" t="s">
        <v>296</v>
      </c>
      <c r="U98" s="77"/>
    </row>
    <row r="99" spans="1:21" ht="15" customHeight="1">
      <c r="D99" s="2" t="s">
        <v>426</v>
      </c>
      <c r="L99" s="80" t="s">
        <v>97</v>
      </c>
      <c r="M99" s="6" t="s">
        <v>197</v>
      </c>
      <c r="N99" s="77" t="s">
        <v>427</v>
      </c>
      <c r="O99" s="77" t="s">
        <v>428</v>
      </c>
      <c r="P99" s="77" t="s">
        <v>131</v>
      </c>
      <c r="Q99" s="6" t="s">
        <v>285</v>
      </c>
      <c r="R99" s="78" t="s">
        <v>257</v>
      </c>
      <c r="S99" s="6" t="s">
        <v>120</v>
      </c>
      <c r="T99" s="77" t="s">
        <v>203</v>
      </c>
      <c r="U99" s="77"/>
    </row>
    <row r="100" spans="1:21" ht="15" customHeight="1">
      <c r="D100" s="2" t="s">
        <v>429</v>
      </c>
      <c r="L100" s="80" t="s">
        <v>97</v>
      </c>
      <c r="M100" s="77" t="s">
        <v>197</v>
      </c>
      <c r="N100" s="77" t="s">
        <v>430</v>
      </c>
      <c r="O100" s="77" t="s">
        <v>431</v>
      </c>
      <c r="P100" s="77" t="s">
        <v>131</v>
      </c>
      <c r="Q100" s="6" t="s">
        <v>285</v>
      </c>
      <c r="R100" s="78" t="s">
        <v>257</v>
      </c>
      <c r="S100" s="6" t="s">
        <v>120</v>
      </c>
      <c r="T100" s="77" t="s">
        <v>203</v>
      </c>
      <c r="U100" s="77"/>
    </row>
    <row r="101" spans="1:21" ht="15" customHeight="1">
      <c r="D101" s="2" t="s">
        <v>432</v>
      </c>
      <c r="L101" s="76" t="s">
        <v>97</v>
      </c>
      <c r="M101" s="77" t="s">
        <v>197</v>
      </c>
      <c r="N101" s="77" t="s">
        <v>433</v>
      </c>
      <c r="O101" s="77" t="s">
        <v>434</v>
      </c>
      <c r="P101" s="6" t="s">
        <v>117</v>
      </c>
      <c r="Q101" s="6" t="s">
        <v>285</v>
      </c>
      <c r="R101" s="70" t="s">
        <v>257</v>
      </c>
      <c r="S101" s="6" t="s">
        <v>195</v>
      </c>
      <c r="T101" s="6" t="s">
        <v>121</v>
      </c>
      <c r="U101" s="6" t="s">
        <v>203</v>
      </c>
    </row>
    <row r="102" spans="1:21" ht="15" customHeight="1">
      <c r="L102" s="80" t="s">
        <v>97</v>
      </c>
      <c r="M102" s="77" t="s">
        <v>197</v>
      </c>
      <c r="N102" s="77" t="s">
        <v>435</v>
      </c>
      <c r="O102" s="77" t="s">
        <v>436</v>
      </c>
      <c r="P102" s="6" t="s">
        <v>117</v>
      </c>
      <c r="Q102" s="6" t="s">
        <v>285</v>
      </c>
      <c r="R102" s="70" t="s">
        <v>119</v>
      </c>
      <c r="S102" s="6" t="s">
        <v>120</v>
      </c>
      <c r="T102" s="6" t="s">
        <v>296</v>
      </c>
      <c r="U102" s="6"/>
    </row>
    <row r="103" spans="1:21" ht="15" customHeight="1">
      <c r="L103" s="80" t="s">
        <v>97</v>
      </c>
      <c r="M103" s="77" t="s">
        <v>197</v>
      </c>
      <c r="N103" s="77" t="s">
        <v>437</v>
      </c>
      <c r="O103" s="77" t="s">
        <v>438</v>
      </c>
      <c r="P103" s="77" t="s">
        <v>131</v>
      </c>
      <c r="Q103" s="77" t="s">
        <v>285</v>
      </c>
      <c r="R103" s="78" t="s">
        <v>257</v>
      </c>
      <c r="S103" s="77" t="s">
        <v>282</v>
      </c>
      <c r="T103" s="77" t="s">
        <v>203</v>
      </c>
      <c r="U103" s="77"/>
    </row>
    <row r="104" spans="1:21" ht="15" customHeight="1">
      <c r="L104" s="76" t="s">
        <v>97</v>
      </c>
      <c r="M104" s="77" t="s">
        <v>204</v>
      </c>
      <c r="N104" s="77" t="s">
        <v>439</v>
      </c>
      <c r="O104" s="77" t="s">
        <v>440</v>
      </c>
      <c r="P104" s="77" t="s">
        <v>117</v>
      </c>
      <c r="Q104" s="77" t="s">
        <v>118</v>
      </c>
      <c r="R104" s="78" t="s">
        <v>119</v>
      </c>
      <c r="S104" s="77" t="s">
        <v>120</v>
      </c>
      <c r="T104" s="77" t="s">
        <v>121</v>
      </c>
      <c r="U104" s="91" t="s">
        <v>441</v>
      </c>
    </row>
    <row r="105" spans="1:21" ht="15" customHeight="1">
      <c r="L105" s="84" t="s">
        <v>97</v>
      </c>
      <c r="M105" s="85" t="s">
        <v>204</v>
      </c>
      <c r="N105" s="86" t="s">
        <v>442</v>
      </c>
      <c r="O105" s="81" t="s">
        <v>443</v>
      </c>
      <c r="P105" s="6" t="s">
        <v>117</v>
      </c>
      <c r="Q105" s="6" t="s">
        <v>118</v>
      </c>
      <c r="R105" s="70" t="s">
        <v>119</v>
      </c>
      <c r="S105" s="6" t="s">
        <v>120</v>
      </c>
      <c r="T105" s="6" t="s">
        <v>121</v>
      </c>
      <c r="U105" s="6"/>
    </row>
  </sheetData>
  <sortState xmlns:xlrd2="http://schemas.microsoft.com/office/spreadsheetml/2017/richdata2" ref="E3:G21">
    <sortCondition ref="E3"/>
  </sortState>
  <dataValidations count="1">
    <dataValidation type="list" allowBlank="1" showInputMessage="1" showErrorMessage="1" sqref="T82:T93 T81:U81 T101:T103 T3:T80 T105" xr:uid="{00000000-0002-0000-0600-000000000000}">
      <formula1>"Larger the Better, Smaller the Better, Moderate the Best"</formula1>
    </dataValidation>
  </dataValidations>
  <hyperlinks>
    <hyperlink ref="O55" r:id="rId1" display="https://kquest.kpit.com/kquest/projects/katapult/knowledgebase/articles/2082" xr:uid="{00000000-0004-0000-0600-000000000000}"/>
  </hyperlinks>
  <pageMargins left="0.7" right="0.7" top="0.75" bottom="0.75" header="0.3" footer="0.3"/>
  <pageSetup orientation="portrait"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outlinePr summaryBelow="0" summaryRight="0"/>
  </sheetPr>
  <dimension ref="A3:Z234"/>
  <sheetViews>
    <sheetView topLeftCell="A12" zoomScale="70" zoomScaleNormal="70" workbookViewId="0">
      <pane xSplit="4" ySplit="3" topLeftCell="J15" activePane="bottomRight" state="frozen"/>
      <selection pane="bottomRight" activeCell="C22" sqref="C22"/>
      <selection pane="bottomLeft" activeCell="A15" sqref="A15"/>
      <selection pane="topRight" activeCell="E12" sqref="E12"/>
    </sheetView>
  </sheetViews>
  <sheetFormatPr defaultColWidth="8.5546875" defaultRowHeight="14.1" outlineLevelRow="1"/>
  <cols>
    <col min="1" max="1" width="8.109375" customWidth="1"/>
    <col min="2" max="2" width="23.5546875" customWidth="1"/>
    <col min="3" max="3" width="20.5546875" customWidth="1"/>
    <col min="4" max="4" width="34" customWidth="1"/>
    <col min="5" max="14" width="13" style="34" customWidth="1"/>
    <col min="15" max="26" width="13" customWidth="1"/>
  </cols>
  <sheetData>
    <row r="3" spans="1:26" ht="21" customHeight="1" collapsed="1">
      <c r="B3" s="238" t="s">
        <v>444</v>
      </c>
      <c r="C3" s="238"/>
      <c r="D3" s="238"/>
      <c r="E3" s="238"/>
      <c r="F3" s="238"/>
      <c r="G3" s="238"/>
      <c r="H3" s="238"/>
      <c r="I3" s="238"/>
      <c r="J3" s="238"/>
      <c r="K3" s="238"/>
      <c r="L3" s="238"/>
      <c r="M3" s="238"/>
      <c r="N3" s="238"/>
      <c r="O3" s="238"/>
      <c r="P3" s="238"/>
      <c r="Q3" s="238"/>
      <c r="R3" s="238"/>
    </row>
    <row r="4" spans="1:26" ht="18.75" hidden="1" customHeight="1" outlineLevel="1">
      <c r="D4" s="14" t="s">
        <v>445</v>
      </c>
      <c r="E4" s="14" t="s">
        <v>446</v>
      </c>
      <c r="F4" s="14" t="s">
        <v>447</v>
      </c>
      <c r="G4" s="15" t="s">
        <v>448</v>
      </c>
      <c r="H4" s="15" t="s">
        <v>449</v>
      </c>
      <c r="I4" s="15" t="s">
        <v>450</v>
      </c>
      <c r="J4" s="15" t="s">
        <v>451</v>
      </c>
      <c r="K4" s="15" t="s">
        <v>452</v>
      </c>
      <c r="L4" s="15" t="s">
        <v>453</v>
      </c>
      <c r="M4" s="15" t="s">
        <v>454</v>
      </c>
      <c r="N4" s="15" t="s">
        <v>455</v>
      </c>
      <c r="O4" s="15" t="s">
        <v>456</v>
      </c>
      <c r="P4" s="15" t="s">
        <v>456</v>
      </c>
      <c r="Q4" s="16" t="s">
        <v>457</v>
      </c>
    </row>
    <row r="5" spans="1:26" ht="105.75" hidden="1" customHeight="1" outlineLevel="1">
      <c r="B5" s="17" t="s">
        <v>458</v>
      </c>
      <c r="C5" s="17"/>
      <c r="D5" s="18" t="s">
        <v>459</v>
      </c>
      <c r="E5" s="18" t="s">
        <v>460</v>
      </c>
      <c r="F5" s="18" t="s">
        <v>461</v>
      </c>
      <c r="G5" s="18" t="s">
        <v>462</v>
      </c>
      <c r="H5" s="239" t="s">
        <v>463</v>
      </c>
      <c r="I5" s="240" t="s">
        <v>464</v>
      </c>
      <c r="J5" s="19" t="s">
        <v>465</v>
      </c>
      <c r="K5" s="19" t="s">
        <v>466</v>
      </c>
      <c r="L5" s="240" t="s">
        <v>467</v>
      </c>
      <c r="M5" s="241" t="s">
        <v>468</v>
      </c>
      <c r="N5" s="241" t="s">
        <v>469</v>
      </c>
      <c r="O5" s="241" t="s">
        <v>470</v>
      </c>
      <c r="P5" s="241" t="s">
        <v>470</v>
      </c>
      <c r="Q5" s="242"/>
    </row>
    <row r="6" spans="1:26" ht="24" hidden="1" customHeight="1" outlineLevel="1">
      <c r="B6" s="17"/>
      <c r="C6" s="17"/>
      <c r="D6" s="18"/>
      <c r="E6" s="18"/>
      <c r="F6" s="18"/>
      <c r="G6" s="18"/>
      <c r="H6" s="239"/>
      <c r="I6" s="240"/>
      <c r="J6" s="19" t="s">
        <v>471</v>
      </c>
      <c r="K6" s="19" t="s">
        <v>472</v>
      </c>
      <c r="L6" s="240"/>
      <c r="M6" s="241"/>
      <c r="N6" s="241"/>
      <c r="O6" s="241"/>
      <c r="P6" s="241"/>
      <c r="Q6" s="242"/>
    </row>
    <row r="7" spans="1:26" ht="24" hidden="1" customHeight="1" outlineLevel="1">
      <c r="B7" s="17" t="s">
        <v>109</v>
      </c>
      <c r="C7" s="17"/>
      <c r="D7" s="18"/>
      <c r="E7" s="18"/>
      <c r="F7" s="18"/>
      <c r="G7" s="18" t="s">
        <v>473</v>
      </c>
      <c r="H7" s="20" t="s">
        <v>474</v>
      </c>
      <c r="I7" s="21" t="s">
        <v>475</v>
      </c>
      <c r="J7" s="22"/>
      <c r="K7" s="22"/>
      <c r="L7" s="22"/>
      <c r="M7" s="23"/>
      <c r="N7" s="23"/>
      <c r="O7" s="23"/>
      <c r="P7" s="23"/>
      <c r="Q7" s="24"/>
    </row>
    <row r="8" spans="1:26" ht="24" hidden="1" customHeight="1" outlineLevel="1">
      <c r="B8" s="17" t="s">
        <v>128</v>
      </c>
      <c r="C8" s="17"/>
      <c r="D8" s="25" t="s">
        <v>459</v>
      </c>
      <c r="E8" s="25" t="s">
        <v>476</v>
      </c>
      <c r="F8" s="25" t="s">
        <v>477</v>
      </c>
      <c r="G8" s="25" t="s">
        <v>478</v>
      </c>
      <c r="H8" s="26" t="s">
        <v>479</v>
      </c>
      <c r="I8" s="27" t="s">
        <v>480</v>
      </c>
      <c r="J8" s="27" t="s">
        <v>481</v>
      </c>
      <c r="K8" s="28" t="s">
        <v>482</v>
      </c>
      <c r="L8" s="29" t="s">
        <v>483</v>
      </c>
      <c r="M8" s="23" t="s">
        <v>484</v>
      </c>
      <c r="N8" s="23"/>
      <c r="O8" s="23"/>
      <c r="P8" s="23"/>
      <c r="Q8" s="24"/>
    </row>
    <row r="9" spans="1:26" ht="24" hidden="1" customHeight="1" outlineLevel="1">
      <c r="B9" s="17" t="s">
        <v>485</v>
      </c>
      <c r="C9" s="17"/>
      <c r="D9" s="1"/>
      <c r="E9" s="1"/>
      <c r="F9" s="1"/>
      <c r="G9" s="1"/>
      <c r="H9" s="21" t="s">
        <v>486</v>
      </c>
      <c r="I9" s="21" t="s">
        <v>487</v>
      </c>
      <c r="J9" s="21" t="s">
        <v>488</v>
      </c>
      <c r="K9" s="21" t="s">
        <v>489</v>
      </c>
      <c r="L9" s="21" t="s">
        <v>490</v>
      </c>
      <c r="M9" s="23"/>
      <c r="N9" s="23"/>
      <c r="O9" s="23"/>
      <c r="P9" s="23"/>
      <c r="Q9" s="24"/>
    </row>
    <row r="10" spans="1:26" ht="24" hidden="1" customHeight="1" outlineLevel="1">
      <c r="B10" s="17" t="s">
        <v>491</v>
      </c>
      <c r="C10" s="17"/>
      <c r="D10" s="1"/>
      <c r="E10" s="1"/>
      <c r="F10" s="1"/>
      <c r="G10" s="1"/>
      <c r="H10" s="30" t="s">
        <v>492</v>
      </c>
      <c r="I10" s="30" t="s">
        <v>493</v>
      </c>
      <c r="J10" s="30" t="s">
        <v>494</v>
      </c>
      <c r="K10" s="31" t="s">
        <v>495</v>
      </c>
      <c r="L10" s="32" t="s">
        <v>496</v>
      </c>
      <c r="M10" s="33" t="s">
        <v>497</v>
      </c>
      <c r="N10" s="33" t="s">
        <v>498</v>
      </c>
      <c r="O10" s="33" t="s">
        <v>499</v>
      </c>
      <c r="P10" s="33" t="s">
        <v>499</v>
      </c>
      <c r="Q10" s="24" t="s">
        <v>500</v>
      </c>
    </row>
    <row r="11" spans="1:26" ht="24" customHeight="1">
      <c r="F11" s="237"/>
      <c r="G11" s="237"/>
      <c r="H11" s="237"/>
      <c r="I11" s="237"/>
    </row>
    <row r="12" spans="1:26" ht="21" customHeight="1">
      <c r="B12" s="35" t="s">
        <v>501</v>
      </c>
      <c r="C12" s="35"/>
      <c r="D12" s="35"/>
      <c r="E12" s="36" t="s">
        <v>502</v>
      </c>
      <c r="F12" s="35"/>
      <c r="G12" s="35"/>
      <c r="H12" s="36" t="s">
        <v>503</v>
      </c>
      <c r="I12" s="35"/>
      <c r="J12" s="35"/>
      <c r="K12" s="36" t="s">
        <v>504</v>
      </c>
      <c r="L12" s="35"/>
      <c r="M12" s="35"/>
      <c r="N12" s="35"/>
      <c r="O12" s="35"/>
      <c r="P12" s="35"/>
      <c r="Q12" s="35"/>
      <c r="R12" s="35"/>
      <c r="S12" s="35"/>
      <c r="T12" s="35"/>
      <c r="U12" s="35"/>
      <c r="V12" s="35"/>
      <c r="W12" s="35"/>
      <c r="X12" s="35"/>
      <c r="Y12" s="35"/>
      <c r="Z12" s="35"/>
    </row>
    <row r="13" spans="1:26" ht="18" customHeight="1">
      <c r="B13" s="37"/>
      <c r="C13" s="37"/>
      <c r="D13" s="37"/>
      <c r="E13" s="38"/>
      <c r="F13" s="38"/>
      <c r="G13" s="38"/>
      <c r="H13" s="38"/>
      <c r="I13" s="38"/>
      <c r="J13" s="39"/>
      <c r="K13" s="39"/>
      <c r="L13" s="39"/>
      <c r="M13" s="39"/>
      <c r="N13" s="39"/>
      <c r="O13" s="40"/>
      <c r="P13" s="40"/>
      <c r="Q13" s="40"/>
      <c r="R13" s="40"/>
      <c r="S13" s="41"/>
      <c r="T13" s="41"/>
      <c r="U13" s="42"/>
      <c r="V13" s="43"/>
      <c r="W13" s="44"/>
      <c r="X13" s="45"/>
      <c r="Y13" s="46"/>
      <c r="Z13" s="46"/>
    </row>
    <row r="14" spans="1:26" ht="45">
      <c r="B14" s="47" t="s">
        <v>505</v>
      </c>
      <c r="C14" s="47" t="s">
        <v>506</v>
      </c>
      <c r="D14" s="47" t="s">
        <v>507</v>
      </c>
      <c r="E14" s="38" t="s">
        <v>508</v>
      </c>
      <c r="F14" s="38" t="s">
        <v>509</v>
      </c>
      <c r="G14" s="38" t="s">
        <v>510</v>
      </c>
      <c r="H14" s="38" t="s">
        <v>511</v>
      </c>
      <c r="I14" s="38" t="s">
        <v>512</v>
      </c>
      <c r="J14" s="39" t="s">
        <v>513</v>
      </c>
      <c r="K14" s="39" t="s">
        <v>514</v>
      </c>
      <c r="L14" s="39" t="s">
        <v>515</v>
      </c>
      <c r="M14" s="39" t="s">
        <v>516</v>
      </c>
      <c r="N14" s="39" t="s">
        <v>517</v>
      </c>
      <c r="O14" s="40" t="s">
        <v>518</v>
      </c>
      <c r="P14" s="40" t="s">
        <v>519</v>
      </c>
      <c r="Q14" s="40" t="s">
        <v>520</v>
      </c>
      <c r="R14" s="40" t="s">
        <v>521</v>
      </c>
      <c r="S14" s="42" t="s">
        <v>522</v>
      </c>
      <c r="T14" s="42" t="s">
        <v>523</v>
      </c>
      <c r="U14" s="42" t="s">
        <v>524</v>
      </c>
      <c r="V14" s="43" t="s">
        <v>525</v>
      </c>
      <c r="W14" s="45" t="s">
        <v>526</v>
      </c>
      <c r="X14" s="45" t="s">
        <v>527</v>
      </c>
      <c r="Y14" s="46" t="s">
        <v>528</v>
      </c>
      <c r="Z14" s="46" t="s">
        <v>529</v>
      </c>
    </row>
    <row r="15" spans="1:26" ht="15" customHeight="1">
      <c r="A15" s="61" t="s">
        <v>530</v>
      </c>
      <c r="B15" s="48" t="s">
        <v>114</v>
      </c>
      <c r="C15" s="48"/>
      <c r="D15" s="48"/>
      <c r="E15" s="49"/>
      <c r="F15" s="49"/>
      <c r="G15" s="49"/>
      <c r="H15" s="49"/>
      <c r="I15" s="49"/>
      <c r="J15" s="49"/>
      <c r="K15" s="49"/>
      <c r="L15" s="49"/>
      <c r="M15" s="49"/>
      <c r="N15" s="49"/>
      <c r="O15" s="49"/>
      <c r="P15" s="49"/>
      <c r="Q15" s="49"/>
      <c r="R15" s="49"/>
      <c r="S15" s="49"/>
      <c r="T15" s="49"/>
      <c r="U15" s="49"/>
      <c r="V15" s="49"/>
      <c r="W15" s="49"/>
      <c r="X15" s="49"/>
      <c r="Y15" s="49"/>
      <c r="Z15" s="49"/>
    </row>
    <row r="16" spans="1:26" ht="15" customHeight="1">
      <c r="A16" s="61"/>
      <c r="B16" s="48"/>
      <c r="C16" s="48" t="s">
        <v>531</v>
      </c>
      <c r="D16" s="48" t="s">
        <v>532</v>
      </c>
      <c r="E16" s="49">
        <v>2</v>
      </c>
      <c r="F16" s="49">
        <v>2</v>
      </c>
      <c r="G16" s="49">
        <v>2</v>
      </c>
      <c r="H16" s="49">
        <v>3</v>
      </c>
      <c r="I16" s="49">
        <v>3</v>
      </c>
      <c r="J16" s="49">
        <v>1</v>
      </c>
      <c r="K16" s="49">
        <v>1</v>
      </c>
      <c r="L16" s="49">
        <v>2</v>
      </c>
      <c r="M16" s="49">
        <v>2</v>
      </c>
      <c r="N16" s="49">
        <v>2</v>
      </c>
      <c r="O16" s="50">
        <v>3</v>
      </c>
      <c r="P16" s="50">
        <v>3</v>
      </c>
      <c r="Q16" s="50">
        <v>3</v>
      </c>
      <c r="R16" s="50">
        <v>3</v>
      </c>
      <c r="S16" s="49">
        <v>1</v>
      </c>
      <c r="T16" s="49">
        <v>1</v>
      </c>
      <c r="U16" s="49">
        <v>1</v>
      </c>
      <c r="V16" s="49">
        <v>1</v>
      </c>
      <c r="W16" s="51">
        <v>2</v>
      </c>
      <c r="X16" s="51">
        <v>2</v>
      </c>
      <c r="Y16" s="50">
        <v>3</v>
      </c>
      <c r="Z16" s="50">
        <v>3</v>
      </c>
    </row>
    <row r="17" spans="1:26" ht="15" customHeight="1">
      <c r="A17" s="61"/>
      <c r="B17" s="48"/>
      <c r="C17" s="48"/>
      <c r="D17" s="48" t="s">
        <v>533</v>
      </c>
      <c r="E17" s="49">
        <v>2</v>
      </c>
      <c r="F17" s="49">
        <v>2</v>
      </c>
      <c r="G17" s="49">
        <v>2</v>
      </c>
      <c r="H17" s="49">
        <v>3</v>
      </c>
      <c r="I17" s="49">
        <v>3</v>
      </c>
      <c r="J17" s="49"/>
      <c r="K17" s="49"/>
      <c r="L17" s="49"/>
      <c r="M17" s="49"/>
      <c r="N17" s="49"/>
      <c r="O17" s="50">
        <v>3</v>
      </c>
      <c r="P17" s="50">
        <v>3</v>
      </c>
      <c r="Q17" s="50">
        <v>3</v>
      </c>
      <c r="R17" s="50">
        <v>3</v>
      </c>
      <c r="S17" s="49">
        <v>1</v>
      </c>
      <c r="T17" s="49">
        <v>1</v>
      </c>
      <c r="U17" s="49">
        <v>1</v>
      </c>
      <c r="V17" s="49">
        <v>1</v>
      </c>
      <c r="W17" s="51">
        <v>2</v>
      </c>
      <c r="X17" s="51">
        <v>2</v>
      </c>
      <c r="Y17" s="50">
        <v>3</v>
      </c>
      <c r="Z17" s="50">
        <v>3</v>
      </c>
    </row>
    <row r="18" spans="1:26" ht="15" customHeight="1">
      <c r="A18" s="61"/>
      <c r="B18" s="48"/>
      <c r="C18" s="48"/>
      <c r="D18" s="48" t="s">
        <v>534</v>
      </c>
      <c r="E18" s="49">
        <v>2</v>
      </c>
      <c r="F18" s="49">
        <v>2</v>
      </c>
      <c r="G18" s="49">
        <v>2</v>
      </c>
      <c r="H18" s="49">
        <v>3</v>
      </c>
      <c r="I18" s="49">
        <v>3</v>
      </c>
      <c r="J18" s="49"/>
      <c r="K18" s="49"/>
      <c r="L18" s="49"/>
      <c r="M18" s="49"/>
      <c r="N18" s="49"/>
      <c r="O18" s="50">
        <v>3</v>
      </c>
      <c r="P18" s="50">
        <v>3</v>
      </c>
      <c r="Q18" s="50">
        <v>3</v>
      </c>
      <c r="R18" s="50">
        <v>3</v>
      </c>
      <c r="S18" s="50">
        <v>1</v>
      </c>
      <c r="T18" s="50">
        <v>1</v>
      </c>
      <c r="U18" s="50">
        <v>1</v>
      </c>
      <c r="V18" s="50">
        <v>1</v>
      </c>
      <c r="W18" s="51">
        <v>2</v>
      </c>
      <c r="X18" s="51">
        <v>2</v>
      </c>
      <c r="Y18" s="50">
        <v>3</v>
      </c>
      <c r="Z18" s="50">
        <v>3</v>
      </c>
    </row>
    <row r="19" spans="1:26" ht="15" customHeight="1">
      <c r="A19" s="61"/>
      <c r="B19" s="48"/>
      <c r="C19" s="48"/>
      <c r="D19" s="48" t="s">
        <v>535</v>
      </c>
      <c r="E19" s="49">
        <v>2</v>
      </c>
      <c r="F19" s="49">
        <v>2</v>
      </c>
      <c r="G19" s="49">
        <v>2</v>
      </c>
      <c r="H19" s="49">
        <v>3</v>
      </c>
      <c r="I19" s="49">
        <v>3</v>
      </c>
      <c r="J19" s="49"/>
      <c r="K19" s="49"/>
      <c r="L19" s="49"/>
      <c r="M19" s="49"/>
      <c r="N19" s="49"/>
      <c r="O19" s="50">
        <v>3</v>
      </c>
      <c r="P19" s="50">
        <v>3</v>
      </c>
      <c r="Q19" s="50">
        <v>3</v>
      </c>
      <c r="R19" s="50">
        <v>3</v>
      </c>
      <c r="S19" s="50">
        <v>1</v>
      </c>
      <c r="T19" s="50">
        <v>1</v>
      </c>
      <c r="U19" s="50">
        <v>1</v>
      </c>
      <c r="V19" s="50">
        <v>1</v>
      </c>
      <c r="W19" s="51">
        <v>2</v>
      </c>
      <c r="X19" s="51">
        <v>2</v>
      </c>
      <c r="Y19" s="50">
        <v>3</v>
      </c>
      <c r="Z19" s="50">
        <v>3</v>
      </c>
    </row>
    <row r="20" spans="1:26" ht="15" customHeight="1">
      <c r="A20" s="61"/>
      <c r="B20" s="48"/>
      <c r="C20" s="48"/>
      <c r="D20" s="48" t="s">
        <v>536</v>
      </c>
      <c r="E20" s="49">
        <v>2</v>
      </c>
      <c r="F20" s="49">
        <v>2</v>
      </c>
      <c r="G20" s="49">
        <v>2</v>
      </c>
      <c r="H20" s="49">
        <v>3</v>
      </c>
      <c r="I20" s="49">
        <v>3</v>
      </c>
      <c r="J20" s="49"/>
      <c r="K20" s="49"/>
      <c r="L20" s="49"/>
      <c r="M20" s="49"/>
      <c r="N20" s="49"/>
      <c r="O20" s="50">
        <v>3</v>
      </c>
      <c r="P20" s="50">
        <v>3</v>
      </c>
      <c r="Q20" s="50">
        <v>3</v>
      </c>
      <c r="R20" s="50">
        <v>3</v>
      </c>
      <c r="S20" s="50">
        <v>1</v>
      </c>
      <c r="T20" s="50">
        <v>1</v>
      </c>
      <c r="U20" s="50">
        <v>1</v>
      </c>
      <c r="V20" s="50">
        <v>1</v>
      </c>
      <c r="W20" s="51">
        <v>2</v>
      </c>
      <c r="X20" s="51">
        <v>2</v>
      </c>
      <c r="Y20" s="50">
        <v>3</v>
      </c>
      <c r="Z20" s="50">
        <v>3</v>
      </c>
    </row>
    <row r="21" spans="1:26" ht="15" customHeight="1">
      <c r="A21" s="61"/>
      <c r="B21" s="48"/>
      <c r="C21" s="48" t="s">
        <v>537</v>
      </c>
      <c r="D21" s="48" t="s">
        <v>538</v>
      </c>
      <c r="E21" s="49">
        <v>1</v>
      </c>
      <c r="F21" s="49">
        <v>2</v>
      </c>
      <c r="G21" s="49">
        <v>2</v>
      </c>
      <c r="H21" s="49">
        <v>3</v>
      </c>
      <c r="I21" s="49">
        <v>3</v>
      </c>
      <c r="J21" s="49">
        <v>1</v>
      </c>
      <c r="K21" s="49">
        <v>2</v>
      </c>
      <c r="L21" s="49">
        <v>2</v>
      </c>
      <c r="M21" s="49">
        <v>3</v>
      </c>
      <c r="N21" s="49">
        <v>3</v>
      </c>
      <c r="O21" s="50">
        <v>3</v>
      </c>
      <c r="P21" s="50">
        <v>3</v>
      </c>
      <c r="Q21" s="50">
        <v>3</v>
      </c>
      <c r="R21" s="50">
        <v>3</v>
      </c>
      <c r="S21" s="50">
        <v>1</v>
      </c>
      <c r="T21" s="50">
        <v>1</v>
      </c>
      <c r="U21" s="50">
        <v>1</v>
      </c>
      <c r="V21" s="50">
        <v>1</v>
      </c>
      <c r="W21" s="51">
        <v>2</v>
      </c>
      <c r="X21" s="51">
        <v>2</v>
      </c>
      <c r="Y21" s="50">
        <v>3</v>
      </c>
      <c r="Z21" s="50">
        <v>3</v>
      </c>
    </row>
    <row r="22" spans="1:26" ht="15" customHeight="1">
      <c r="A22" s="61"/>
      <c r="B22" s="48"/>
      <c r="C22" s="48"/>
      <c r="D22" s="48" t="s">
        <v>539</v>
      </c>
      <c r="E22" s="49">
        <v>1</v>
      </c>
      <c r="F22" s="49">
        <v>2</v>
      </c>
      <c r="G22" s="49">
        <v>2</v>
      </c>
      <c r="H22" s="49">
        <v>3</v>
      </c>
      <c r="I22" s="49">
        <v>3</v>
      </c>
      <c r="J22" s="49">
        <v>1</v>
      </c>
      <c r="K22" s="49">
        <v>2</v>
      </c>
      <c r="L22" s="49">
        <v>2</v>
      </c>
      <c r="M22" s="49">
        <v>3</v>
      </c>
      <c r="N22" s="49">
        <v>3</v>
      </c>
      <c r="O22" s="50">
        <v>3</v>
      </c>
      <c r="P22" s="50">
        <v>3</v>
      </c>
      <c r="Q22" s="50">
        <v>3</v>
      </c>
      <c r="R22" s="50">
        <v>3</v>
      </c>
      <c r="S22" s="50">
        <v>1</v>
      </c>
      <c r="T22" s="50">
        <v>1</v>
      </c>
      <c r="U22" s="50">
        <v>1</v>
      </c>
      <c r="V22" s="50">
        <v>1</v>
      </c>
      <c r="W22" s="51">
        <v>2</v>
      </c>
      <c r="X22" s="51">
        <v>2</v>
      </c>
      <c r="Y22" s="50">
        <v>3</v>
      </c>
      <c r="Z22" s="50">
        <v>3</v>
      </c>
    </row>
    <row r="23" spans="1:26" ht="15" customHeight="1">
      <c r="A23" s="61"/>
      <c r="B23" s="48"/>
      <c r="C23" s="48"/>
      <c r="D23" s="48" t="s">
        <v>540</v>
      </c>
      <c r="E23" s="49">
        <v>1</v>
      </c>
      <c r="F23" s="49">
        <v>2</v>
      </c>
      <c r="G23" s="49">
        <v>2</v>
      </c>
      <c r="H23" s="49">
        <v>3</v>
      </c>
      <c r="I23" s="49">
        <v>3</v>
      </c>
      <c r="J23" s="49">
        <v>1</v>
      </c>
      <c r="K23" s="49">
        <v>2</v>
      </c>
      <c r="L23" s="49">
        <v>2</v>
      </c>
      <c r="M23" s="49">
        <v>3</v>
      </c>
      <c r="N23" s="49">
        <v>3</v>
      </c>
      <c r="O23" s="50">
        <v>3</v>
      </c>
      <c r="P23" s="50">
        <v>3</v>
      </c>
      <c r="Q23" s="50">
        <v>3</v>
      </c>
      <c r="R23" s="50">
        <v>3</v>
      </c>
      <c r="S23" s="50">
        <v>1</v>
      </c>
      <c r="T23" s="50">
        <v>1</v>
      </c>
      <c r="U23" s="50">
        <v>1</v>
      </c>
      <c r="V23" s="50">
        <v>1</v>
      </c>
      <c r="W23" s="51">
        <v>2</v>
      </c>
      <c r="X23" s="51">
        <v>2</v>
      </c>
      <c r="Y23" s="50">
        <v>3</v>
      </c>
      <c r="Z23" s="50">
        <v>3</v>
      </c>
    </row>
    <row r="24" spans="1:26" ht="15" customHeight="1">
      <c r="A24" s="61"/>
      <c r="B24" s="48"/>
      <c r="C24" s="48"/>
      <c r="D24" s="48" t="s">
        <v>541</v>
      </c>
      <c r="E24" s="49">
        <v>1</v>
      </c>
      <c r="F24" s="49">
        <v>2</v>
      </c>
      <c r="G24" s="49">
        <v>2</v>
      </c>
      <c r="H24" s="49">
        <v>3</v>
      </c>
      <c r="I24" s="49">
        <v>3</v>
      </c>
      <c r="J24" s="49">
        <v>1</v>
      </c>
      <c r="K24" s="49">
        <v>2</v>
      </c>
      <c r="L24" s="49">
        <v>2</v>
      </c>
      <c r="M24" s="49">
        <v>3</v>
      </c>
      <c r="N24" s="49">
        <v>3</v>
      </c>
      <c r="O24" s="50">
        <v>3</v>
      </c>
      <c r="P24" s="50">
        <v>3</v>
      </c>
      <c r="Q24" s="50">
        <v>3</v>
      </c>
      <c r="R24" s="50">
        <v>3</v>
      </c>
      <c r="S24" s="50">
        <v>1</v>
      </c>
      <c r="T24" s="50">
        <v>1</v>
      </c>
      <c r="U24" s="50">
        <v>1</v>
      </c>
      <c r="V24" s="50">
        <v>1</v>
      </c>
      <c r="W24" s="51">
        <v>2</v>
      </c>
      <c r="X24" s="51">
        <v>2</v>
      </c>
      <c r="Y24" s="50">
        <v>3</v>
      </c>
      <c r="Z24" s="50">
        <v>3</v>
      </c>
    </row>
    <row r="25" spans="1:26" ht="15" customHeight="1">
      <c r="A25" s="61"/>
      <c r="B25" s="48"/>
      <c r="C25" s="48"/>
      <c r="D25" s="48" t="s">
        <v>542</v>
      </c>
      <c r="E25" s="49">
        <v>1</v>
      </c>
      <c r="F25" s="49">
        <v>2</v>
      </c>
      <c r="G25" s="49">
        <v>2</v>
      </c>
      <c r="H25" s="49">
        <v>3</v>
      </c>
      <c r="I25" s="49">
        <v>3</v>
      </c>
      <c r="J25" s="49"/>
      <c r="K25" s="49"/>
      <c r="L25" s="49"/>
      <c r="M25" s="49"/>
      <c r="N25" s="49"/>
      <c r="O25" s="50"/>
      <c r="P25" s="50"/>
      <c r="Q25" s="50"/>
      <c r="R25" s="50"/>
      <c r="S25" s="50"/>
      <c r="T25" s="50"/>
      <c r="U25" s="50"/>
      <c r="V25" s="50"/>
      <c r="W25" s="51"/>
      <c r="X25" s="51"/>
      <c r="Y25" s="50"/>
      <c r="Z25" s="50"/>
    </row>
    <row r="26" spans="1:26" ht="15" customHeight="1">
      <c r="A26" s="61"/>
      <c r="B26" s="48"/>
      <c r="C26" s="48" t="s">
        <v>543</v>
      </c>
      <c r="D26" s="48" t="s">
        <v>544</v>
      </c>
      <c r="E26" s="49">
        <v>1</v>
      </c>
      <c r="F26" s="49">
        <v>2</v>
      </c>
      <c r="G26" s="49">
        <v>2</v>
      </c>
      <c r="H26" s="49">
        <v>3</v>
      </c>
      <c r="I26" s="49">
        <v>3</v>
      </c>
      <c r="J26" s="49"/>
      <c r="K26" s="49"/>
      <c r="L26" s="49">
        <v>1</v>
      </c>
      <c r="M26" s="49">
        <v>1</v>
      </c>
      <c r="N26" s="49">
        <v>1</v>
      </c>
      <c r="O26" s="50">
        <v>3</v>
      </c>
      <c r="P26" s="50">
        <v>3</v>
      </c>
      <c r="Q26" s="50">
        <v>3</v>
      </c>
      <c r="R26" s="50">
        <v>3</v>
      </c>
      <c r="S26" s="50">
        <v>2</v>
      </c>
      <c r="T26" s="50">
        <v>2</v>
      </c>
      <c r="U26" s="50">
        <v>2</v>
      </c>
      <c r="V26" s="50">
        <v>2</v>
      </c>
      <c r="W26" s="51">
        <v>2</v>
      </c>
      <c r="X26" s="51">
        <v>2</v>
      </c>
      <c r="Y26" s="50">
        <v>3</v>
      </c>
      <c r="Z26" s="50">
        <v>3</v>
      </c>
    </row>
    <row r="27" spans="1:26" ht="15" customHeight="1">
      <c r="A27" s="61"/>
      <c r="B27" s="48"/>
      <c r="C27" s="48"/>
      <c r="D27" s="48" t="s">
        <v>545</v>
      </c>
      <c r="E27" s="49">
        <v>1</v>
      </c>
      <c r="F27" s="49">
        <v>1</v>
      </c>
      <c r="G27" s="49">
        <v>2</v>
      </c>
      <c r="H27" s="49">
        <v>3</v>
      </c>
      <c r="I27" s="49">
        <v>3</v>
      </c>
      <c r="J27" s="49">
        <v>1</v>
      </c>
      <c r="K27" s="49">
        <v>1</v>
      </c>
      <c r="L27" s="49">
        <v>1</v>
      </c>
      <c r="M27" s="49">
        <v>1</v>
      </c>
      <c r="N27" s="49">
        <v>1</v>
      </c>
      <c r="O27" s="50">
        <v>3</v>
      </c>
      <c r="P27" s="50">
        <v>3</v>
      </c>
      <c r="Q27" s="50">
        <v>3</v>
      </c>
      <c r="R27" s="50">
        <v>3</v>
      </c>
      <c r="S27" s="50">
        <v>2</v>
      </c>
      <c r="T27" s="50">
        <v>2</v>
      </c>
      <c r="U27" s="50">
        <v>2</v>
      </c>
      <c r="V27" s="50">
        <v>2</v>
      </c>
      <c r="W27" s="51">
        <v>2</v>
      </c>
      <c r="X27" s="51">
        <v>2</v>
      </c>
      <c r="Y27" s="50">
        <v>3</v>
      </c>
      <c r="Z27" s="50">
        <v>3</v>
      </c>
    </row>
    <row r="28" spans="1:26" ht="15" customHeight="1">
      <c r="A28" s="61"/>
      <c r="B28" s="48"/>
      <c r="C28" s="48"/>
      <c r="D28" s="48" t="s">
        <v>546</v>
      </c>
      <c r="E28" s="49">
        <v>1</v>
      </c>
      <c r="F28" s="49">
        <v>2</v>
      </c>
      <c r="G28" s="49">
        <v>2</v>
      </c>
      <c r="H28" s="49">
        <v>3</v>
      </c>
      <c r="I28" s="49">
        <v>3</v>
      </c>
      <c r="J28" s="49"/>
      <c r="K28" s="49"/>
      <c r="L28" s="49"/>
      <c r="M28" s="49"/>
      <c r="N28" s="49"/>
      <c r="O28" s="50">
        <v>3</v>
      </c>
      <c r="P28" s="50">
        <v>3</v>
      </c>
      <c r="Q28" s="50">
        <v>3</v>
      </c>
      <c r="R28" s="50">
        <v>3</v>
      </c>
      <c r="S28" s="50">
        <v>2</v>
      </c>
      <c r="T28" s="50">
        <v>2</v>
      </c>
      <c r="U28" s="50">
        <v>2</v>
      </c>
      <c r="V28" s="50">
        <v>2</v>
      </c>
      <c r="W28" s="51">
        <v>2</v>
      </c>
      <c r="X28" s="51">
        <v>2</v>
      </c>
      <c r="Y28" s="50">
        <v>3</v>
      </c>
      <c r="Z28" s="50">
        <v>3</v>
      </c>
    </row>
    <row r="29" spans="1:26" ht="15" customHeight="1">
      <c r="A29" s="61"/>
      <c r="B29" s="48"/>
      <c r="C29" s="48"/>
      <c r="D29" s="48" t="s">
        <v>547</v>
      </c>
      <c r="E29" s="49"/>
      <c r="F29" s="49"/>
      <c r="G29" s="49">
        <v>1</v>
      </c>
      <c r="H29" s="49">
        <v>2</v>
      </c>
      <c r="I29" s="49">
        <v>2</v>
      </c>
      <c r="J29" s="49"/>
      <c r="K29" s="49"/>
      <c r="L29" s="49"/>
      <c r="M29" s="49"/>
      <c r="N29" s="49"/>
      <c r="O29" s="50">
        <v>3</v>
      </c>
      <c r="P29" s="50">
        <v>3</v>
      </c>
      <c r="Q29" s="50">
        <v>3</v>
      </c>
      <c r="R29" s="50">
        <v>3</v>
      </c>
      <c r="S29" s="50">
        <v>2</v>
      </c>
      <c r="T29" s="50">
        <v>2</v>
      </c>
      <c r="U29" s="50">
        <v>2</v>
      </c>
      <c r="V29" s="50">
        <v>2</v>
      </c>
      <c r="W29" s="51"/>
      <c r="X29" s="51"/>
      <c r="Y29" s="50"/>
      <c r="Z29" s="50"/>
    </row>
    <row r="30" spans="1:26" ht="15" customHeight="1">
      <c r="A30" s="61"/>
      <c r="B30" s="48"/>
      <c r="C30" s="48"/>
      <c r="D30" s="48" t="s">
        <v>548</v>
      </c>
      <c r="E30" s="49"/>
      <c r="F30" s="49">
        <v>1</v>
      </c>
      <c r="G30" s="49">
        <v>2</v>
      </c>
      <c r="H30" s="49">
        <v>3</v>
      </c>
      <c r="I30" s="49">
        <v>3</v>
      </c>
      <c r="J30" s="49"/>
      <c r="K30" s="49"/>
      <c r="L30" s="49"/>
      <c r="M30" s="49"/>
      <c r="N30" s="49"/>
      <c r="O30" s="50">
        <v>3</v>
      </c>
      <c r="P30" s="50">
        <v>3</v>
      </c>
      <c r="Q30" s="50">
        <v>3</v>
      </c>
      <c r="R30" s="50">
        <v>3</v>
      </c>
      <c r="S30" s="50">
        <v>2</v>
      </c>
      <c r="T30" s="50">
        <v>2</v>
      </c>
      <c r="U30" s="50">
        <v>2</v>
      </c>
      <c r="V30" s="50">
        <v>2</v>
      </c>
      <c r="W30" s="51">
        <v>2</v>
      </c>
      <c r="X30" s="51">
        <v>2</v>
      </c>
      <c r="Y30" s="50">
        <v>3</v>
      </c>
      <c r="Z30" s="50">
        <v>3</v>
      </c>
    </row>
    <row r="31" spans="1:26" ht="15" customHeight="1">
      <c r="A31" s="61"/>
      <c r="B31" s="48"/>
      <c r="C31" s="48"/>
      <c r="D31" s="48" t="s">
        <v>549</v>
      </c>
      <c r="E31" s="49">
        <v>1</v>
      </c>
      <c r="F31" s="49">
        <v>1</v>
      </c>
      <c r="G31" s="49">
        <v>2</v>
      </c>
      <c r="H31" s="49">
        <v>3</v>
      </c>
      <c r="I31" s="49">
        <v>3</v>
      </c>
      <c r="J31" s="49">
        <v>1</v>
      </c>
      <c r="K31" s="49"/>
      <c r="L31" s="49"/>
      <c r="M31" s="49"/>
      <c r="N31" s="49"/>
      <c r="O31" s="50">
        <v>3</v>
      </c>
      <c r="P31" s="50">
        <v>3</v>
      </c>
      <c r="Q31" s="50">
        <v>3</v>
      </c>
      <c r="R31" s="50">
        <v>3</v>
      </c>
      <c r="S31" s="50">
        <v>2</v>
      </c>
      <c r="T31" s="50">
        <v>2</v>
      </c>
      <c r="U31" s="50">
        <v>2</v>
      </c>
      <c r="V31" s="50">
        <v>2</v>
      </c>
      <c r="W31" s="51">
        <v>2</v>
      </c>
      <c r="X31" s="51">
        <v>2</v>
      </c>
      <c r="Y31" s="50">
        <v>3</v>
      </c>
      <c r="Z31" s="50">
        <v>3</v>
      </c>
    </row>
    <row r="32" spans="1:26" ht="15" customHeight="1">
      <c r="A32" s="61"/>
      <c r="B32" s="48"/>
      <c r="C32" s="48"/>
      <c r="D32" s="48" t="s">
        <v>550</v>
      </c>
      <c r="E32" s="49">
        <v>1</v>
      </c>
      <c r="F32" s="49">
        <v>1</v>
      </c>
      <c r="G32" s="49">
        <v>1</v>
      </c>
      <c r="H32" s="49">
        <v>2</v>
      </c>
      <c r="I32" s="49">
        <v>2</v>
      </c>
      <c r="J32" s="49"/>
      <c r="K32" s="49">
        <v>1</v>
      </c>
      <c r="L32" s="49">
        <v>1</v>
      </c>
      <c r="M32" s="49">
        <v>2</v>
      </c>
      <c r="N32" s="49">
        <v>2</v>
      </c>
      <c r="O32" s="50">
        <v>3</v>
      </c>
      <c r="P32" s="50">
        <v>3</v>
      </c>
      <c r="Q32" s="50">
        <v>3</v>
      </c>
      <c r="R32" s="50">
        <v>3</v>
      </c>
      <c r="S32" s="50">
        <v>1</v>
      </c>
      <c r="T32" s="50">
        <v>1</v>
      </c>
      <c r="U32" s="50">
        <v>1</v>
      </c>
      <c r="V32" s="50">
        <v>1</v>
      </c>
      <c r="W32" s="51">
        <v>1</v>
      </c>
      <c r="X32" s="51">
        <v>1</v>
      </c>
      <c r="Y32" s="50">
        <v>3</v>
      </c>
      <c r="Z32" s="50">
        <v>3</v>
      </c>
    </row>
    <row r="33" spans="1:26">
      <c r="A33" s="61"/>
      <c r="B33" s="48"/>
      <c r="C33" s="48" t="s">
        <v>551</v>
      </c>
      <c r="D33" s="48" t="s">
        <v>552</v>
      </c>
      <c r="E33" s="49">
        <v>1</v>
      </c>
      <c r="F33" s="49">
        <v>1</v>
      </c>
      <c r="G33" s="49">
        <v>2</v>
      </c>
      <c r="H33" s="49">
        <v>3</v>
      </c>
      <c r="I33" s="49">
        <v>3</v>
      </c>
      <c r="J33" s="49"/>
      <c r="K33" s="49"/>
      <c r="L33" s="49"/>
      <c r="M33" s="49"/>
      <c r="N33" s="49"/>
      <c r="O33" s="49">
        <v>3</v>
      </c>
      <c r="P33" s="49">
        <v>3</v>
      </c>
      <c r="Q33" s="49">
        <v>3</v>
      </c>
      <c r="R33" s="49">
        <v>3</v>
      </c>
      <c r="S33" s="49">
        <v>2</v>
      </c>
      <c r="T33" s="49">
        <v>2</v>
      </c>
      <c r="U33" s="49">
        <v>2</v>
      </c>
      <c r="V33" s="49">
        <v>2</v>
      </c>
      <c r="W33" s="51">
        <v>2</v>
      </c>
      <c r="X33" s="51">
        <v>2</v>
      </c>
      <c r="Y33" s="49">
        <v>3</v>
      </c>
      <c r="Z33" s="49">
        <v>3</v>
      </c>
    </row>
    <row r="34" spans="1:26" ht="15" customHeight="1">
      <c r="A34" s="61"/>
      <c r="B34" s="48"/>
      <c r="C34" s="48"/>
      <c r="D34" s="48" t="s">
        <v>553</v>
      </c>
      <c r="E34" s="49">
        <v>1</v>
      </c>
      <c r="F34" s="49">
        <v>1</v>
      </c>
      <c r="G34" s="49">
        <v>2</v>
      </c>
      <c r="H34" s="49">
        <v>3</v>
      </c>
      <c r="I34" s="49">
        <v>3</v>
      </c>
      <c r="J34" s="49"/>
      <c r="K34" s="49"/>
      <c r="L34" s="49"/>
      <c r="M34" s="49"/>
      <c r="N34" s="49"/>
      <c r="O34" s="50">
        <v>3</v>
      </c>
      <c r="P34" s="50">
        <v>3</v>
      </c>
      <c r="Q34" s="50">
        <v>3</v>
      </c>
      <c r="R34" s="50">
        <v>3</v>
      </c>
      <c r="S34" s="50">
        <v>2</v>
      </c>
      <c r="T34" s="50">
        <v>2</v>
      </c>
      <c r="U34" s="50">
        <v>2</v>
      </c>
      <c r="V34" s="50">
        <v>2</v>
      </c>
      <c r="W34" s="51">
        <v>2</v>
      </c>
      <c r="X34" s="51">
        <v>2</v>
      </c>
      <c r="Y34" s="50">
        <v>3</v>
      </c>
      <c r="Z34" s="50">
        <v>3</v>
      </c>
    </row>
    <row r="35" spans="1:26" ht="15" customHeight="1">
      <c r="A35" s="61"/>
      <c r="B35" s="48"/>
      <c r="C35" s="48" t="s">
        <v>554</v>
      </c>
      <c r="D35" s="48" t="s">
        <v>555</v>
      </c>
      <c r="E35" s="49"/>
      <c r="F35" s="49">
        <v>1</v>
      </c>
      <c r="G35" s="49">
        <v>2</v>
      </c>
      <c r="H35" s="49">
        <v>3</v>
      </c>
      <c r="I35" s="49">
        <v>3</v>
      </c>
      <c r="J35" s="49">
        <v>1</v>
      </c>
      <c r="K35" s="49">
        <v>1</v>
      </c>
      <c r="L35" s="49">
        <v>1</v>
      </c>
      <c r="M35" s="49">
        <v>1</v>
      </c>
      <c r="N35" s="49">
        <v>1</v>
      </c>
      <c r="O35" s="50">
        <v>3</v>
      </c>
      <c r="P35" s="50">
        <v>3</v>
      </c>
      <c r="Q35" s="50">
        <v>3</v>
      </c>
      <c r="R35" s="50">
        <v>3</v>
      </c>
      <c r="S35" s="50">
        <v>2</v>
      </c>
      <c r="T35" s="50">
        <v>2</v>
      </c>
      <c r="U35" s="50">
        <v>2</v>
      </c>
      <c r="V35" s="50">
        <v>2</v>
      </c>
      <c r="W35" s="51">
        <v>2</v>
      </c>
      <c r="X35" s="51">
        <v>2</v>
      </c>
      <c r="Y35" s="50">
        <v>3</v>
      </c>
      <c r="Z35" s="50">
        <v>3</v>
      </c>
    </row>
    <row r="36" spans="1:26" ht="15" customHeight="1">
      <c r="A36" s="61"/>
      <c r="B36" s="48"/>
      <c r="C36" s="48"/>
      <c r="D36" s="48" t="s">
        <v>556</v>
      </c>
      <c r="E36" s="49"/>
      <c r="F36" s="49"/>
      <c r="G36" s="49">
        <v>1</v>
      </c>
      <c r="H36" s="49">
        <v>2</v>
      </c>
      <c r="I36" s="49">
        <v>2</v>
      </c>
      <c r="J36" s="49"/>
      <c r="K36" s="49"/>
      <c r="L36" s="49"/>
      <c r="M36" s="49"/>
      <c r="N36" s="49"/>
      <c r="O36" s="50">
        <v>3</v>
      </c>
      <c r="P36" s="50">
        <v>3</v>
      </c>
      <c r="Q36" s="50">
        <v>3</v>
      </c>
      <c r="R36" s="50">
        <v>3</v>
      </c>
      <c r="S36" s="50">
        <v>1</v>
      </c>
      <c r="T36" s="50">
        <v>1</v>
      </c>
      <c r="U36" s="50">
        <v>1</v>
      </c>
      <c r="V36" s="50">
        <v>1</v>
      </c>
      <c r="W36" s="51">
        <v>1</v>
      </c>
      <c r="X36" s="51">
        <v>1</v>
      </c>
      <c r="Y36" s="50">
        <v>3</v>
      </c>
      <c r="Z36" s="50">
        <v>3</v>
      </c>
    </row>
    <row r="37" spans="1:26" ht="15" customHeight="1">
      <c r="A37" s="61"/>
      <c r="B37" s="48" t="s">
        <v>128</v>
      </c>
      <c r="C37" s="48"/>
      <c r="D37" s="48"/>
      <c r="E37" s="49"/>
      <c r="F37" s="49"/>
      <c r="G37" s="49"/>
      <c r="H37" s="49"/>
      <c r="I37" s="49"/>
      <c r="J37" s="49"/>
      <c r="K37" s="49"/>
      <c r="L37" s="49"/>
      <c r="M37" s="49"/>
      <c r="N37" s="49"/>
      <c r="O37" s="50"/>
      <c r="P37" s="50"/>
      <c r="Q37" s="50"/>
      <c r="R37" s="50"/>
      <c r="S37" s="50"/>
      <c r="T37" s="50"/>
      <c r="U37" s="50"/>
      <c r="V37" s="50"/>
      <c r="W37" s="51"/>
      <c r="X37" s="51"/>
      <c r="Y37" s="50"/>
      <c r="Z37" s="50"/>
    </row>
    <row r="38" spans="1:26" ht="15" customHeight="1">
      <c r="A38" s="61"/>
      <c r="B38" s="48"/>
      <c r="C38" s="48" t="s">
        <v>557</v>
      </c>
      <c r="D38" s="48" t="s">
        <v>558</v>
      </c>
      <c r="E38" s="49">
        <v>2</v>
      </c>
      <c r="F38" s="49">
        <v>2</v>
      </c>
      <c r="G38" s="49">
        <v>2</v>
      </c>
      <c r="H38" s="49">
        <v>3</v>
      </c>
      <c r="I38" s="49">
        <v>3</v>
      </c>
      <c r="J38" s="49">
        <v>2</v>
      </c>
      <c r="K38" s="49">
        <v>2</v>
      </c>
      <c r="L38" s="49">
        <v>3</v>
      </c>
      <c r="M38" s="49">
        <v>3</v>
      </c>
      <c r="N38" s="49">
        <v>3</v>
      </c>
      <c r="O38" s="50">
        <v>3</v>
      </c>
      <c r="P38" s="50">
        <v>3</v>
      </c>
      <c r="Q38" s="50">
        <v>3</v>
      </c>
      <c r="R38" s="50">
        <v>3</v>
      </c>
      <c r="S38" s="50">
        <v>3</v>
      </c>
      <c r="T38" s="50">
        <v>3</v>
      </c>
      <c r="U38" s="50">
        <v>3</v>
      </c>
      <c r="V38" s="50">
        <v>3</v>
      </c>
      <c r="W38" s="51">
        <v>3</v>
      </c>
      <c r="X38" s="51">
        <v>3</v>
      </c>
      <c r="Y38" s="50">
        <v>3</v>
      </c>
      <c r="Z38" s="50">
        <v>3</v>
      </c>
    </row>
    <row r="39" spans="1:26" ht="15" customHeight="1">
      <c r="A39" s="61"/>
      <c r="B39" s="48"/>
      <c r="C39" s="48"/>
      <c r="D39" s="48" t="s">
        <v>559</v>
      </c>
      <c r="E39" s="49"/>
      <c r="F39" s="49"/>
      <c r="G39" s="49"/>
      <c r="H39" s="49"/>
      <c r="I39" s="49"/>
      <c r="J39" s="49">
        <v>1</v>
      </c>
      <c r="K39" s="49">
        <v>2</v>
      </c>
      <c r="L39" s="49">
        <v>2</v>
      </c>
      <c r="M39" s="49">
        <v>3</v>
      </c>
      <c r="N39" s="49">
        <v>3</v>
      </c>
      <c r="O39" s="50">
        <v>3</v>
      </c>
      <c r="P39" s="50">
        <v>3</v>
      </c>
      <c r="Q39" s="50">
        <v>3</v>
      </c>
      <c r="R39" s="50">
        <v>3</v>
      </c>
      <c r="S39" s="50">
        <v>2</v>
      </c>
      <c r="T39" s="50">
        <v>2</v>
      </c>
      <c r="U39" s="50">
        <v>2</v>
      </c>
      <c r="V39" s="50">
        <v>2</v>
      </c>
      <c r="W39" s="51">
        <v>2</v>
      </c>
      <c r="X39" s="51">
        <v>2</v>
      </c>
      <c r="Y39" s="50">
        <v>3</v>
      </c>
      <c r="Z39" s="50">
        <v>3</v>
      </c>
    </row>
    <row r="40" spans="1:26" ht="15" customHeight="1">
      <c r="A40" s="61"/>
      <c r="B40" s="48"/>
      <c r="C40" s="48"/>
      <c r="D40" s="48" t="s">
        <v>560</v>
      </c>
      <c r="E40" s="49"/>
      <c r="F40" s="49"/>
      <c r="G40" s="49"/>
      <c r="H40" s="49"/>
      <c r="I40" s="49"/>
      <c r="J40" s="49">
        <v>1</v>
      </c>
      <c r="K40" s="49">
        <v>2</v>
      </c>
      <c r="L40" s="49">
        <v>2</v>
      </c>
      <c r="M40" s="49">
        <v>3</v>
      </c>
      <c r="N40" s="49">
        <v>3</v>
      </c>
      <c r="O40" s="50">
        <v>3</v>
      </c>
      <c r="P40" s="50">
        <v>3</v>
      </c>
      <c r="Q40" s="50">
        <v>3</v>
      </c>
      <c r="R40" s="50">
        <v>3</v>
      </c>
      <c r="S40" s="50">
        <v>2</v>
      </c>
      <c r="T40" s="50">
        <v>2</v>
      </c>
      <c r="U40" s="50">
        <v>2</v>
      </c>
      <c r="V40" s="50">
        <v>2</v>
      </c>
      <c r="W40" s="51">
        <v>2</v>
      </c>
      <c r="X40" s="51">
        <v>2</v>
      </c>
      <c r="Y40" s="50">
        <v>3</v>
      </c>
      <c r="Z40" s="50">
        <v>3</v>
      </c>
    </row>
    <row r="41" spans="1:26" ht="15" customHeight="1">
      <c r="A41" s="61"/>
      <c r="B41" s="48"/>
      <c r="C41" s="48"/>
      <c r="D41" s="48" t="s">
        <v>561</v>
      </c>
      <c r="E41" s="49"/>
      <c r="F41" s="49"/>
      <c r="G41" s="49"/>
      <c r="H41" s="49"/>
      <c r="I41" s="49"/>
      <c r="J41" s="49">
        <v>1</v>
      </c>
      <c r="K41" s="49">
        <v>2</v>
      </c>
      <c r="L41" s="49">
        <v>2</v>
      </c>
      <c r="M41" s="49">
        <v>3</v>
      </c>
      <c r="N41" s="49">
        <v>3</v>
      </c>
      <c r="O41" s="50">
        <v>3</v>
      </c>
      <c r="P41" s="50">
        <v>3</v>
      </c>
      <c r="Q41" s="50">
        <v>3</v>
      </c>
      <c r="R41" s="50">
        <v>3</v>
      </c>
      <c r="S41" s="50">
        <v>2</v>
      </c>
      <c r="T41" s="50">
        <v>2</v>
      </c>
      <c r="U41" s="50">
        <v>2</v>
      </c>
      <c r="V41" s="50">
        <v>2</v>
      </c>
      <c r="W41" s="51">
        <v>2</v>
      </c>
      <c r="X41" s="51">
        <v>2</v>
      </c>
      <c r="Y41" s="50">
        <v>3</v>
      </c>
      <c r="Z41" s="50">
        <v>3</v>
      </c>
    </row>
    <row r="42" spans="1:26" ht="15" customHeight="1">
      <c r="A42" s="61"/>
      <c r="B42" s="48"/>
      <c r="C42" s="48" t="s">
        <v>562</v>
      </c>
      <c r="D42" s="48" t="s">
        <v>563</v>
      </c>
      <c r="E42" s="49">
        <v>1</v>
      </c>
      <c r="F42" s="49">
        <v>2</v>
      </c>
      <c r="G42" s="49">
        <v>2</v>
      </c>
      <c r="H42" s="49">
        <v>3</v>
      </c>
      <c r="I42" s="49">
        <v>3</v>
      </c>
      <c r="J42" s="49">
        <v>1</v>
      </c>
      <c r="K42" s="49">
        <v>2</v>
      </c>
      <c r="L42" s="49">
        <v>2</v>
      </c>
      <c r="M42" s="49">
        <v>3</v>
      </c>
      <c r="N42" s="49">
        <v>3</v>
      </c>
      <c r="O42" s="50">
        <v>3</v>
      </c>
      <c r="P42" s="50">
        <v>3</v>
      </c>
      <c r="Q42" s="50">
        <v>3</v>
      </c>
      <c r="R42" s="50">
        <v>3</v>
      </c>
      <c r="S42" s="50">
        <v>1</v>
      </c>
      <c r="T42" s="50">
        <v>1</v>
      </c>
      <c r="U42" s="50">
        <v>1</v>
      </c>
      <c r="V42" s="50">
        <v>1</v>
      </c>
      <c r="W42" s="51"/>
      <c r="X42" s="51"/>
      <c r="Y42" s="50"/>
      <c r="Z42" s="50"/>
    </row>
    <row r="43" spans="1:26">
      <c r="A43" s="61"/>
      <c r="B43" s="48"/>
      <c r="C43" s="48"/>
      <c r="D43" s="48" t="s">
        <v>564</v>
      </c>
      <c r="E43" s="49"/>
      <c r="F43" s="49">
        <v>1</v>
      </c>
      <c r="G43" s="49">
        <v>2</v>
      </c>
      <c r="H43" s="49">
        <v>3</v>
      </c>
      <c r="I43" s="49">
        <v>3</v>
      </c>
      <c r="J43" s="49">
        <v>1</v>
      </c>
      <c r="K43" s="49">
        <v>2</v>
      </c>
      <c r="L43" s="49">
        <v>2</v>
      </c>
      <c r="M43" s="49">
        <v>3</v>
      </c>
      <c r="N43" s="49">
        <v>3</v>
      </c>
      <c r="O43" s="50">
        <v>3</v>
      </c>
      <c r="P43" s="50">
        <v>3</v>
      </c>
      <c r="Q43" s="50">
        <v>3</v>
      </c>
      <c r="R43" s="50">
        <v>3</v>
      </c>
      <c r="S43" s="49">
        <v>1</v>
      </c>
      <c r="T43" s="49">
        <v>1</v>
      </c>
      <c r="U43" s="49">
        <v>1</v>
      </c>
      <c r="V43" s="49">
        <v>1</v>
      </c>
      <c r="W43" s="51"/>
      <c r="X43" s="51"/>
      <c r="Y43" s="49"/>
      <c r="Z43" s="49"/>
    </row>
    <row r="44" spans="1:26" ht="15" customHeight="1">
      <c r="A44" s="61"/>
      <c r="B44" s="48"/>
      <c r="C44" s="48" t="s">
        <v>565</v>
      </c>
      <c r="D44" s="48" t="s">
        <v>566</v>
      </c>
      <c r="E44" s="49"/>
      <c r="F44" s="49"/>
      <c r="G44" s="49"/>
      <c r="H44" s="49"/>
      <c r="I44" s="49"/>
      <c r="J44" s="49">
        <v>1</v>
      </c>
      <c r="K44" s="49">
        <v>2</v>
      </c>
      <c r="L44" s="49">
        <v>2</v>
      </c>
      <c r="M44" s="49">
        <v>3</v>
      </c>
      <c r="N44" s="49">
        <v>3</v>
      </c>
      <c r="O44" s="50">
        <v>3</v>
      </c>
      <c r="P44" s="50">
        <v>3</v>
      </c>
      <c r="Q44" s="50">
        <v>3</v>
      </c>
      <c r="R44" s="50">
        <v>3</v>
      </c>
      <c r="S44" s="49">
        <v>2</v>
      </c>
      <c r="T44" s="49">
        <v>2</v>
      </c>
      <c r="U44" s="49">
        <v>2</v>
      </c>
      <c r="V44" s="49">
        <v>2</v>
      </c>
      <c r="W44" s="51"/>
      <c r="X44" s="51"/>
      <c r="Y44" s="50"/>
      <c r="Z44" s="50"/>
    </row>
    <row r="45" spans="1:26" ht="15" customHeight="1">
      <c r="A45" s="61"/>
      <c r="B45" s="48"/>
      <c r="C45" s="48"/>
      <c r="D45" s="48" t="s">
        <v>567</v>
      </c>
      <c r="E45" s="49"/>
      <c r="F45" s="49"/>
      <c r="G45" s="49"/>
      <c r="H45" s="49"/>
      <c r="I45" s="49"/>
      <c r="J45" s="49">
        <v>1</v>
      </c>
      <c r="K45" s="49">
        <v>2</v>
      </c>
      <c r="L45" s="49">
        <v>2</v>
      </c>
      <c r="M45" s="49">
        <v>3</v>
      </c>
      <c r="N45" s="49">
        <v>3</v>
      </c>
      <c r="O45" s="50">
        <v>3</v>
      </c>
      <c r="P45" s="50">
        <v>3</v>
      </c>
      <c r="Q45" s="50">
        <v>3</v>
      </c>
      <c r="R45" s="50">
        <v>3</v>
      </c>
      <c r="S45" s="49">
        <v>1</v>
      </c>
      <c r="T45" s="49">
        <v>1</v>
      </c>
      <c r="U45" s="49">
        <v>1</v>
      </c>
      <c r="V45" s="49">
        <v>1</v>
      </c>
      <c r="W45" s="51"/>
      <c r="X45" s="51"/>
      <c r="Y45" s="50"/>
      <c r="Z45" s="50"/>
    </row>
    <row r="46" spans="1:26" ht="15" customHeight="1">
      <c r="A46" s="61"/>
      <c r="B46" s="48" t="s">
        <v>140</v>
      </c>
      <c r="C46" s="48"/>
      <c r="D46" s="48"/>
      <c r="E46" s="49"/>
      <c r="F46" s="49"/>
      <c r="G46" s="49"/>
      <c r="H46" s="49"/>
      <c r="I46" s="49"/>
      <c r="J46" s="49"/>
      <c r="K46" s="49"/>
      <c r="L46" s="49"/>
      <c r="M46" s="49"/>
      <c r="N46" s="49"/>
      <c r="O46" s="50"/>
      <c r="P46" s="50"/>
      <c r="Q46" s="50"/>
      <c r="R46" s="50"/>
      <c r="S46" s="50"/>
      <c r="T46" s="50"/>
      <c r="U46" s="50"/>
      <c r="V46" s="52"/>
      <c r="W46" s="51"/>
      <c r="X46" s="51"/>
      <c r="Y46" s="50"/>
      <c r="Z46" s="50"/>
    </row>
    <row r="47" spans="1:26" ht="15" customHeight="1">
      <c r="A47" s="61"/>
      <c r="B47" s="48"/>
      <c r="C47" s="48" t="s">
        <v>568</v>
      </c>
      <c r="D47" s="48" t="s">
        <v>569</v>
      </c>
      <c r="E47" s="49">
        <v>1</v>
      </c>
      <c r="F47" s="49">
        <v>2</v>
      </c>
      <c r="G47" s="49">
        <v>2</v>
      </c>
      <c r="H47" s="49">
        <v>2</v>
      </c>
      <c r="I47" s="49">
        <v>2</v>
      </c>
      <c r="J47" s="49">
        <v>1</v>
      </c>
      <c r="K47" s="49">
        <v>2</v>
      </c>
      <c r="L47" s="49">
        <v>2</v>
      </c>
      <c r="M47" s="49">
        <v>2</v>
      </c>
      <c r="N47" s="49">
        <v>2</v>
      </c>
      <c r="O47" s="50">
        <v>3</v>
      </c>
      <c r="P47" s="50">
        <v>3</v>
      </c>
      <c r="Q47" s="50">
        <v>3</v>
      </c>
      <c r="R47" s="50">
        <v>3</v>
      </c>
      <c r="S47" s="50">
        <v>2</v>
      </c>
      <c r="T47" s="50">
        <v>2</v>
      </c>
      <c r="U47" s="50">
        <v>2</v>
      </c>
      <c r="V47" s="52">
        <v>2</v>
      </c>
      <c r="W47" s="51">
        <v>2</v>
      </c>
      <c r="X47" s="51">
        <v>2</v>
      </c>
      <c r="Y47" s="50">
        <v>3</v>
      </c>
      <c r="Z47" s="50">
        <v>3</v>
      </c>
    </row>
    <row r="48" spans="1:26" ht="15" customHeight="1">
      <c r="A48" s="61"/>
      <c r="B48" s="48"/>
      <c r="C48" s="48"/>
      <c r="D48" s="48" t="s">
        <v>570</v>
      </c>
      <c r="E48" s="49">
        <v>1</v>
      </c>
      <c r="F48" s="49">
        <v>2</v>
      </c>
      <c r="G48" s="49">
        <v>2</v>
      </c>
      <c r="H48" s="49">
        <v>3</v>
      </c>
      <c r="I48" s="49">
        <v>3</v>
      </c>
      <c r="J48" s="49">
        <v>1</v>
      </c>
      <c r="K48" s="49">
        <v>2</v>
      </c>
      <c r="L48" s="49">
        <v>2</v>
      </c>
      <c r="M48" s="49">
        <v>2</v>
      </c>
      <c r="N48" s="49">
        <v>2</v>
      </c>
      <c r="O48" s="50">
        <v>3</v>
      </c>
      <c r="P48" s="50">
        <v>3</v>
      </c>
      <c r="Q48" s="50">
        <v>3</v>
      </c>
      <c r="R48" s="50">
        <v>3</v>
      </c>
      <c r="S48" s="50">
        <v>2</v>
      </c>
      <c r="T48" s="50">
        <v>2</v>
      </c>
      <c r="U48" s="50">
        <v>2</v>
      </c>
      <c r="V48" s="52">
        <v>2</v>
      </c>
      <c r="W48" s="51">
        <v>2</v>
      </c>
      <c r="X48" s="51">
        <v>2</v>
      </c>
      <c r="Y48" s="50">
        <v>3</v>
      </c>
      <c r="Z48" s="50">
        <v>3</v>
      </c>
    </row>
    <row r="49" spans="1:26" ht="15" customHeight="1">
      <c r="A49" s="61"/>
      <c r="B49" s="48"/>
      <c r="C49" s="48"/>
      <c r="D49" s="48" t="s">
        <v>571</v>
      </c>
      <c r="E49" s="49"/>
      <c r="F49" s="49"/>
      <c r="G49" s="49">
        <v>1</v>
      </c>
      <c r="H49" s="49">
        <v>2</v>
      </c>
      <c r="I49" s="49">
        <v>2</v>
      </c>
      <c r="J49" s="49"/>
      <c r="K49" s="49"/>
      <c r="L49" s="49">
        <v>1</v>
      </c>
      <c r="M49" s="49">
        <v>2</v>
      </c>
      <c r="N49" s="49">
        <v>2</v>
      </c>
      <c r="O49" s="50">
        <v>3</v>
      </c>
      <c r="P49" s="50">
        <v>3</v>
      </c>
      <c r="Q49" s="50">
        <v>3</v>
      </c>
      <c r="R49" s="50">
        <v>3</v>
      </c>
      <c r="S49" s="50">
        <v>2</v>
      </c>
      <c r="T49" s="50">
        <v>2</v>
      </c>
      <c r="U49" s="50">
        <v>2</v>
      </c>
      <c r="V49" s="52">
        <v>2</v>
      </c>
      <c r="W49" s="51">
        <v>2</v>
      </c>
      <c r="X49" s="51">
        <v>2</v>
      </c>
      <c r="Y49" s="50">
        <v>3</v>
      </c>
      <c r="Z49" s="50">
        <v>3</v>
      </c>
    </row>
    <row r="50" spans="1:26" ht="15" customHeight="1">
      <c r="A50" s="61"/>
      <c r="B50" s="48"/>
      <c r="C50" s="48"/>
      <c r="D50" s="48" t="s">
        <v>572</v>
      </c>
      <c r="E50" s="49">
        <v>2</v>
      </c>
      <c r="F50" s="49">
        <v>2</v>
      </c>
      <c r="G50" s="49">
        <v>2</v>
      </c>
      <c r="H50" s="49">
        <v>3</v>
      </c>
      <c r="I50" s="49">
        <v>3</v>
      </c>
      <c r="J50" s="49">
        <v>2</v>
      </c>
      <c r="K50" s="49">
        <v>2</v>
      </c>
      <c r="L50" s="49">
        <v>2</v>
      </c>
      <c r="M50" s="49">
        <v>3</v>
      </c>
      <c r="N50" s="49">
        <v>3</v>
      </c>
      <c r="O50" s="50">
        <v>3</v>
      </c>
      <c r="P50" s="50">
        <v>3</v>
      </c>
      <c r="Q50" s="50">
        <v>3</v>
      </c>
      <c r="R50" s="50">
        <v>3</v>
      </c>
      <c r="S50" s="50">
        <v>3</v>
      </c>
      <c r="T50" s="50">
        <v>3</v>
      </c>
      <c r="U50" s="50">
        <v>3</v>
      </c>
      <c r="V50" s="52">
        <v>3</v>
      </c>
      <c r="W50" s="51">
        <v>3</v>
      </c>
      <c r="X50" s="51">
        <v>3</v>
      </c>
      <c r="Y50" s="50">
        <v>3</v>
      </c>
      <c r="Z50" s="50">
        <v>3</v>
      </c>
    </row>
    <row r="51" spans="1:26" ht="15" customHeight="1">
      <c r="A51" s="61"/>
      <c r="B51" s="48"/>
      <c r="C51" s="48" t="s">
        <v>573</v>
      </c>
      <c r="D51" s="48" t="s">
        <v>574</v>
      </c>
      <c r="E51" s="49">
        <v>2</v>
      </c>
      <c r="F51" s="49">
        <v>2</v>
      </c>
      <c r="G51" s="49">
        <v>2</v>
      </c>
      <c r="H51" s="49">
        <v>2</v>
      </c>
      <c r="I51" s="49">
        <v>2</v>
      </c>
      <c r="J51" s="49">
        <v>2</v>
      </c>
      <c r="K51" s="49">
        <v>2</v>
      </c>
      <c r="L51" s="49">
        <v>2</v>
      </c>
      <c r="M51" s="49">
        <v>2</v>
      </c>
      <c r="N51" s="49">
        <v>2</v>
      </c>
      <c r="O51" s="50">
        <v>3</v>
      </c>
      <c r="P51" s="50">
        <v>3</v>
      </c>
      <c r="Q51" s="50">
        <v>3</v>
      </c>
      <c r="R51" s="50">
        <v>3</v>
      </c>
      <c r="S51" s="50">
        <v>3</v>
      </c>
      <c r="T51" s="50">
        <v>3</v>
      </c>
      <c r="U51" s="50">
        <v>3</v>
      </c>
      <c r="V51" s="52">
        <v>3</v>
      </c>
      <c r="W51" s="51">
        <v>3</v>
      </c>
      <c r="X51" s="51">
        <v>3</v>
      </c>
      <c r="Y51" s="50">
        <v>3</v>
      </c>
      <c r="Z51" s="50">
        <v>3</v>
      </c>
    </row>
    <row r="52" spans="1:26" ht="15" customHeight="1">
      <c r="A52" s="61"/>
      <c r="B52" s="48"/>
      <c r="C52" s="48"/>
      <c r="D52" s="48" t="s">
        <v>575</v>
      </c>
      <c r="E52" s="49"/>
      <c r="F52" s="49"/>
      <c r="G52" s="49"/>
      <c r="H52" s="49"/>
      <c r="I52" s="49"/>
      <c r="J52" s="49"/>
      <c r="K52" s="49"/>
      <c r="L52" s="49"/>
      <c r="M52" s="49"/>
      <c r="N52" s="49"/>
      <c r="O52" s="50">
        <v>3</v>
      </c>
      <c r="P52" s="50">
        <v>3</v>
      </c>
      <c r="Q52" s="50">
        <v>3</v>
      </c>
      <c r="R52" s="50">
        <v>3</v>
      </c>
      <c r="S52" s="50">
        <v>1</v>
      </c>
      <c r="T52" s="50">
        <v>2</v>
      </c>
      <c r="U52" s="50">
        <v>3</v>
      </c>
      <c r="V52" s="52">
        <v>3</v>
      </c>
      <c r="W52" s="51">
        <v>2</v>
      </c>
      <c r="X52" s="51">
        <v>3</v>
      </c>
      <c r="Y52" s="50">
        <v>3</v>
      </c>
      <c r="Z52" s="50">
        <v>3</v>
      </c>
    </row>
    <row r="53" spans="1:26" ht="15" customHeight="1">
      <c r="A53" s="61"/>
      <c r="B53" s="48"/>
      <c r="C53" s="48"/>
      <c r="D53" s="48" t="s">
        <v>576</v>
      </c>
      <c r="E53" s="49">
        <v>2</v>
      </c>
      <c r="F53" s="49">
        <v>2</v>
      </c>
      <c r="G53" s="49">
        <v>2</v>
      </c>
      <c r="H53" s="49">
        <v>2</v>
      </c>
      <c r="I53" s="49">
        <v>2</v>
      </c>
      <c r="J53" s="49">
        <v>2</v>
      </c>
      <c r="K53" s="49">
        <v>2</v>
      </c>
      <c r="L53" s="49">
        <v>2</v>
      </c>
      <c r="M53" s="49">
        <v>2</v>
      </c>
      <c r="N53" s="49">
        <v>2</v>
      </c>
      <c r="O53" s="50">
        <v>3</v>
      </c>
      <c r="P53" s="50">
        <v>3</v>
      </c>
      <c r="Q53" s="50">
        <v>3</v>
      </c>
      <c r="R53" s="50">
        <v>3</v>
      </c>
      <c r="S53" s="50">
        <v>1</v>
      </c>
      <c r="T53" s="50">
        <v>2</v>
      </c>
      <c r="U53" s="50">
        <v>2</v>
      </c>
      <c r="V53" s="52">
        <v>2</v>
      </c>
      <c r="W53" s="51">
        <v>2</v>
      </c>
      <c r="X53" s="51">
        <v>2</v>
      </c>
      <c r="Y53" s="50">
        <v>3</v>
      </c>
      <c r="Z53" s="50">
        <v>3</v>
      </c>
    </row>
    <row r="54" spans="1:26" ht="15" customHeight="1">
      <c r="A54" s="61"/>
      <c r="B54" s="48"/>
      <c r="C54" s="48"/>
      <c r="D54" s="48" t="s">
        <v>577</v>
      </c>
      <c r="E54" s="49"/>
      <c r="F54" s="49">
        <v>1</v>
      </c>
      <c r="G54" s="49">
        <v>2</v>
      </c>
      <c r="H54" s="49">
        <v>2</v>
      </c>
      <c r="I54" s="49">
        <v>2</v>
      </c>
      <c r="J54" s="49"/>
      <c r="K54" s="49">
        <v>1</v>
      </c>
      <c r="L54" s="49">
        <v>2</v>
      </c>
      <c r="M54" s="49">
        <v>2</v>
      </c>
      <c r="N54" s="49">
        <v>2</v>
      </c>
      <c r="O54" s="50">
        <v>3</v>
      </c>
      <c r="P54" s="50">
        <v>3</v>
      </c>
      <c r="Q54" s="50">
        <v>3</v>
      </c>
      <c r="R54" s="50">
        <v>3</v>
      </c>
      <c r="S54" s="50">
        <v>2</v>
      </c>
      <c r="T54" s="50">
        <v>2</v>
      </c>
      <c r="U54" s="50">
        <v>2</v>
      </c>
      <c r="V54" s="52">
        <v>2</v>
      </c>
      <c r="W54" s="51">
        <v>2</v>
      </c>
      <c r="X54" s="51">
        <v>2</v>
      </c>
      <c r="Y54" s="50">
        <v>3</v>
      </c>
      <c r="Z54" s="50">
        <v>3</v>
      </c>
    </row>
    <row r="55" spans="1:26" ht="15" customHeight="1">
      <c r="A55" s="61"/>
      <c r="B55" s="48"/>
      <c r="C55" s="48"/>
      <c r="D55" s="48" t="s">
        <v>578</v>
      </c>
      <c r="E55" s="49">
        <v>2</v>
      </c>
      <c r="F55" s="49">
        <v>2</v>
      </c>
      <c r="G55" s="49">
        <v>2</v>
      </c>
      <c r="H55" s="49">
        <v>2</v>
      </c>
      <c r="I55" s="49">
        <v>2</v>
      </c>
      <c r="J55" s="49">
        <v>2</v>
      </c>
      <c r="K55" s="49">
        <v>2</v>
      </c>
      <c r="L55" s="49">
        <v>2</v>
      </c>
      <c r="M55" s="49">
        <v>2</v>
      </c>
      <c r="N55" s="49">
        <v>2</v>
      </c>
      <c r="O55" s="50">
        <v>3</v>
      </c>
      <c r="P55" s="50">
        <v>3</v>
      </c>
      <c r="Q55" s="50">
        <v>3</v>
      </c>
      <c r="R55" s="50">
        <v>3</v>
      </c>
      <c r="S55" s="50">
        <v>2</v>
      </c>
      <c r="T55" s="50">
        <v>2</v>
      </c>
      <c r="U55" s="50">
        <v>2</v>
      </c>
      <c r="V55" s="52">
        <v>2</v>
      </c>
      <c r="W55" s="51">
        <v>2</v>
      </c>
      <c r="X55" s="51">
        <v>2</v>
      </c>
      <c r="Y55" s="50">
        <v>3</v>
      </c>
      <c r="Z55" s="50">
        <v>3</v>
      </c>
    </row>
    <row r="56" spans="1:26" ht="15" customHeight="1">
      <c r="A56" s="61"/>
      <c r="B56" s="48"/>
      <c r="C56" s="48" t="s">
        <v>579</v>
      </c>
      <c r="D56" s="48" t="s">
        <v>580</v>
      </c>
      <c r="E56" s="49"/>
      <c r="F56" s="49"/>
      <c r="G56" s="49"/>
      <c r="H56" s="49"/>
      <c r="I56" s="49"/>
      <c r="J56" s="49"/>
      <c r="K56" s="49"/>
      <c r="L56" s="49"/>
      <c r="M56" s="49"/>
      <c r="N56" s="49"/>
      <c r="O56" s="50">
        <v>3</v>
      </c>
      <c r="P56" s="50">
        <v>3</v>
      </c>
      <c r="Q56" s="50">
        <v>3</v>
      </c>
      <c r="R56" s="50">
        <v>3</v>
      </c>
      <c r="S56" s="50">
        <v>2</v>
      </c>
      <c r="T56" s="50">
        <v>2</v>
      </c>
      <c r="U56" s="50">
        <v>2</v>
      </c>
      <c r="V56" s="52">
        <v>2</v>
      </c>
      <c r="W56" s="51">
        <v>2</v>
      </c>
      <c r="X56" s="51">
        <v>2</v>
      </c>
      <c r="Y56" s="50">
        <v>3</v>
      </c>
      <c r="Z56" s="50">
        <v>3</v>
      </c>
    </row>
    <row r="57" spans="1:26" ht="15" customHeight="1">
      <c r="A57" s="61"/>
      <c r="B57" s="48"/>
      <c r="C57" s="48"/>
      <c r="D57" s="48" t="s">
        <v>581</v>
      </c>
      <c r="E57" s="49"/>
      <c r="F57" s="49"/>
      <c r="G57" s="49"/>
      <c r="H57" s="49"/>
      <c r="I57" s="49"/>
      <c r="J57" s="49"/>
      <c r="K57" s="49"/>
      <c r="L57" s="49"/>
      <c r="M57" s="49"/>
      <c r="N57" s="49"/>
      <c r="O57" s="49">
        <v>3</v>
      </c>
      <c r="P57" s="49">
        <v>3</v>
      </c>
      <c r="Q57" s="49">
        <v>3</v>
      </c>
      <c r="R57" s="49">
        <v>3</v>
      </c>
      <c r="S57" s="49"/>
      <c r="T57" s="49"/>
      <c r="U57" s="49"/>
      <c r="V57" s="49"/>
      <c r="W57" s="51"/>
      <c r="X57" s="51"/>
      <c r="Y57" s="49">
        <v>3</v>
      </c>
      <c r="Z57" s="49">
        <v>3</v>
      </c>
    </row>
    <row r="58" spans="1:26" ht="15" customHeight="1">
      <c r="A58" s="61"/>
      <c r="B58" s="48"/>
      <c r="C58" s="48"/>
      <c r="D58" s="48" t="s">
        <v>582</v>
      </c>
      <c r="E58" s="49"/>
      <c r="F58" s="49"/>
      <c r="G58" s="49"/>
      <c r="H58" s="49"/>
      <c r="I58" s="49"/>
      <c r="J58" s="49"/>
      <c r="K58" s="49"/>
      <c r="L58" s="49"/>
      <c r="M58" s="49"/>
      <c r="N58" s="49"/>
      <c r="O58" s="50">
        <v>3</v>
      </c>
      <c r="P58" s="50">
        <v>3</v>
      </c>
      <c r="Q58" s="50">
        <v>3</v>
      </c>
      <c r="R58" s="50">
        <v>3</v>
      </c>
      <c r="S58" s="50"/>
      <c r="T58" s="50"/>
      <c r="U58" s="50"/>
      <c r="V58" s="52"/>
      <c r="W58" s="51"/>
      <c r="X58" s="51"/>
      <c r="Y58" s="50">
        <v>3</v>
      </c>
      <c r="Z58" s="50">
        <v>3</v>
      </c>
    </row>
    <row r="59" spans="1:26" ht="15" customHeight="1">
      <c r="A59" s="61"/>
      <c r="B59" s="48"/>
      <c r="C59" s="48"/>
      <c r="D59" s="48" t="s">
        <v>583</v>
      </c>
      <c r="E59" s="49"/>
      <c r="F59" s="49"/>
      <c r="G59" s="49"/>
      <c r="H59" s="49"/>
      <c r="I59" s="49"/>
      <c r="J59" s="49"/>
      <c r="K59" s="49"/>
      <c r="L59" s="49"/>
      <c r="M59" s="49"/>
      <c r="N59" s="49"/>
      <c r="O59" s="50">
        <v>3</v>
      </c>
      <c r="P59" s="50">
        <v>3</v>
      </c>
      <c r="Q59" s="50">
        <v>3</v>
      </c>
      <c r="R59" s="50">
        <v>3</v>
      </c>
      <c r="S59" s="50"/>
      <c r="T59" s="50"/>
      <c r="U59" s="50"/>
      <c r="V59" s="52"/>
      <c r="W59" s="51"/>
      <c r="X59" s="51"/>
      <c r="Y59" s="50">
        <v>3</v>
      </c>
      <c r="Z59" s="50">
        <v>3</v>
      </c>
    </row>
    <row r="60" spans="1:26" ht="15" customHeight="1">
      <c r="A60" s="61"/>
      <c r="B60" s="48" t="s">
        <v>149</v>
      </c>
      <c r="C60" s="48"/>
      <c r="D60" s="48"/>
      <c r="E60" s="49"/>
      <c r="F60" s="49"/>
      <c r="G60" s="49"/>
      <c r="H60" s="49"/>
      <c r="I60" s="49"/>
      <c r="J60" s="49"/>
      <c r="K60" s="49"/>
      <c r="L60" s="49"/>
      <c r="M60" s="49"/>
      <c r="N60" s="49"/>
      <c r="O60" s="50"/>
      <c r="P60" s="50"/>
      <c r="Q60" s="50"/>
      <c r="R60" s="50"/>
      <c r="S60" s="50"/>
      <c r="T60" s="50"/>
      <c r="U60" s="50"/>
      <c r="V60" s="52"/>
      <c r="W60" s="51"/>
      <c r="X60" s="51"/>
      <c r="Y60" s="50"/>
      <c r="Z60" s="50"/>
    </row>
    <row r="61" spans="1:26" ht="15" customHeight="1">
      <c r="A61" s="61"/>
      <c r="B61" s="48"/>
      <c r="C61" s="48" t="s">
        <v>584</v>
      </c>
      <c r="D61" s="48" t="s">
        <v>585</v>
      </c>
      <c r="E61" s="49"/>
      <c r="F61" s="49"/>
      <c r="G61" s="49">
        <v>1</v>
      </c>
      <c r="H61" s="49">
        <v>2</v>
      </c>
      <c r="I61" s="49">
        <v>2</v>
      </c>
      <c r="J61" s="49"/>
      <c r="K61" s="49"/>
      <c r="L61" s="49">
        <v>1</v>
      </c>
      <c r="M61" s="49">
        <v>2</v>
      </c>
      <c r="N61" s="49">
        <v>2</v>
      </c>
      <c r="O61" s="50">
        <v>3</v>
      </c>
      <c r="P61" s="50">
        <v>3</v>
      </c>
      <c r="Q61" s="50">
        <v>3</v>
      </c>
      <c r="R61" s="50">
        <v>3</v>
      </c>
      <c r="S61" s="50">
        <v>3</v>
      </c>
      <c r="T61" s="50">
        <v>3</v>
      </c>
      <c r="U61" s="50">
        <v>3</v>
      </c>
      <c r="V61" s="52">
        <v>3</v>
      </c>
      <c r="W61" s="51">
        <v>3</v>
      </c>
      <c r="X61" s="51">
        <v>3</v>
      </c>
      <c r="Y61" s="50">
        <v>3</v>
      </c>
      <c r="Z61" s="50">
        <v>3</v>
      </c>
    </row>
    <row r="62" spans="1:26" ht="15" customHeight="1">
      <c r="A62" s="61"/>
      <c r="B62" s="48"/>
      <c r="C62" s="48"/>
      <c r="D62" s="48" t="s">
        <v>586</v>
      </c>
      <c r="E62" s="49"/>
      <c r="F62" s="49"/>
      <c r="G62" s="49"/>
      <c r="H62" s="49"/>
      <c r="I62" s="49"/>
      <c r="J62" s="49"/>
      <c r="K62" s="49"/>
      <c r="L62" s="49"/>
      <c r="M62" s="49"/>
      <c r="N62" s="49"/>
      <c r="O62" s="50"/>
      <c r="P62" s="50"/>
      <c r="Q62" s="50">
        <v>2</v>
      </c>
      <c r="R62" s="50">
        <v>2</v>
      </c>
      <c r="S62" s="50">
        <v>1</v>
      </c>
      <c r="T62" s="50">
        <v>2</v>
      </c>
      <c r="U62" s="50">
        <v>3</v>
      </c>
      <c r="V62" s="52">
        <v>3</v>
      </c>
      <c r="W62" s="51">
        <v>3</v>
      </c>
      <c r="X62" s="51">
        <v>3</v>
      </c>
      <c r="Y62" s="50">
        <v>2</v>
      </c>
      <c r="Z62" s="50">
        <v>2</v>
      </c>
    </row>
    <row r="63" spans="1:26" ht="15" customHeight="1">
      <c r="A63" s="61"/>
      <c r="B63" s="48"/>
      <c r="C63" s="48"/>
      <c r="D63" s="48" t="s">
        <v>587</v>
      </c>
      <c r="E63" s="49"/>
      <c r="F63" s="49"/>
      <c r="G63" s="49"/>
      <c r="H63" s="49"/>
      <c r="I63" s="49"/>
      <c r="J63" s="49"/>
      <c r="K63" s="49"/>
      <c r="L63" s="49"/>
      <c r="M63" s="49"/>
      <c r="N63" s="49"/>
      <c r="O63" s="50"/>
      <c r="P63" s="50"/>
      <c r="Q63" s="50">
        <v>2</v>
      </c>
      <c r="R63" s="50">
        <v>2</v>
      </c>
      <c r="S63" s="50">
        <v>1</v>
      </c>
      <c r="T63" s="50">
        <v>2</v>
      </c>
      <c r="U63" s="50">
        <v>3</v>
      </c>
      <c r="V63" s="52">
        <v>3</v>
      </c>
      <c r="W63" s="51">
        <v>3</v>
      </c>
      <c r="X63" s="51">
        <v>3</v>
      </c>
      <c r="Y63" s="50">
        <v>2</v>
      </c>
      <c r="Z63" s="50">
        <v>2</v>
      </c>
    </row>
    <row r="64" spans="1:26" ht="15" customHeight="1">
      <c r="A64" s="61"/>
      <c r="B64" s="48"/>
      <c r="C64" s="48"/>
      <c r="D64" s="48" t="s">
        <v>588</v>
      </c>
      <c r="E64" s="49"/>
      <c r="F64" s="49"/>
      <c r="G64" s="49"/>
      <c r="H64" s="49"/>
      <c r="I64" s="49"/>
      <c r="J64" s="49"/>
      <c r="K64" s="49"/>
      <c r="L64" s="49"/>
      <c r="M64" s="49"/>
      <c r="N64" s="49"/>
      <c r="O64" s="50"/>
      <c r="P64" s="50"/>
      <c r="Q64" s="50">
        <v>2</v>
      </c>
      <c r="R64" s="50">
        <v>2</v>
      </c>
      <c r="S64" s="50">
        <v>1</v>
      </c>
      <c r="T64" s="50">
        <v>2</v>
      </c>
      <c r="U64" s="50">
        <v>3</v>
      </c>
      <c r="V64" s="52">
        <v>3</v>
      </c>
      <c r="W64" s="51">
        <v>3</v>
      </c>
      <c r="X64" s="51">
        <v>3</v>
      </c>
      <c r="Y64" s="50">
        <v>2</v>
      </c>
      <c r="Z64" s="50">
        <v>2</v>
      </c>
    </row>
    <row r="65" spans="1:26" ht="15" customHeight="1">
      <c r="A65" s="61"/>
      <c r="B65" s="48"/>
      <c r="C65" s="48"/>
      <c r="D65" s="48" t="s">
        <v>589</v>
      </c>
      <c r="E65" s="49"/>
      <c r="F65" s="49"/>
      <c r="G65" s="49"/>
      <c r="H65" s="49"/>
      <c r="I65" s="49"/>
      <c r="J65" s="49"/>
      <c r="K65" s="49"/>
      <c r="L65" s="49"/>
      <c r="M65" s="49"/>
      <c r="N65" s="49"/>
      <c r="O65" s="50"/>
      <c r="P65" s="50"/>
      <c r="Q65" s="50">
        <v>2</v>
      </c>
      <c r="R65" s="50">
        <v>2</v>
      </c>
      <c r="S65" s="50">
        <v>1</v>
      </c>
      <c r="T65" s="50">
        <v>2</v>
      </c>
      <c r="U65" s="50">
        <v>3</v>
      </c>
      <c r="V65" s="52">
        <v>3</v>
      </c>
      <c r="W65" s="51">
        <v>3</v>
      </c>
      <c r="X65" s="51">
        <v>3</v>
      </c>
      <c r="Y65" s="50">
        <v>2</v>
      </c>
      <c r="Z65" s="50">
        <v>2</v>
      </c>
    </row>
    <row r="66" spans="1:26" ht="15" customHeight="1">
      <c r="A66" s="61"/>
      <c r="B66" s="48"/>
      <c r="C66" s="48"/>
      <c r="D66" s="48" t="s">
        <v>590</v>
      </c>
      <c r="E66" s="49"/>
      <c r="F66" s="49"/>
      <c r="G66" s="49"/>
      <c r="H66" s="49"/>
      <c r="I66" s="49"/>
      <c r="J66" s="49"/>
      <c r="K66" s="49"/>
      <c r="L66" s="49"/>
      <c r="M66" s="49"/>
      <c r="N66" s="49"/>
      <c r="O66" s="50"/>
      <c r="P66" s="50"/>
      <c r="Q66" s="50">
        <v>2</v>
      </c>
      <c r="R66" s="50">
        <v>2</v>
      </c>
      <c r="S66" s="50">
        <v>1</v>
      </c>
      <c r="T66" s="50">
        <v>2</v>
      </c>
      <c r="U66" s="50">
        <v>3</v>
      </c>
      <c r="V66" s="52">
        <v>3</v>
      </c>
      <c r="W66" s="51">
        <v>2</v>
      </c>
      <c r="X66" s="51">
        <v>3</v>
      </c>
      <c r="Y66" s="50">
        <v>2</v>
      </c>
      <c r="Z66" s="50">
        <v>2</v>
      </c>
    </row>
    <row r="67" spans="1:26" ht="15" customHeight="1">
      <c r="A67" s="61"/>
      <c r="B67" s="48"/>
      <c r="C67" s="48" t="s">
        <v>591</v>
      </c>
      <c r="D67" s="48" t="s">
        <v>592</v>
      </c>
      <c r="E67" s="49"/>
      <c r="F67" s="49"/>
      <c r="G67" s="49">
        <v>1</v>
      </c>
      <c r="H67" s="49">
        <v>2</v>
      </c>
      <c r="I67" s="49">
        <v>2</v>
      </c>
      <c r="J67" s="49"/>
      <c r="K67" s="49"/>
      <c r="L67" s="49">
        <v>1</v>
      </c>
      <c r="M67" s="49">
        <v>2</v>
      </c>
      <c r="N67" s="49">
        <v>2</v>
      </c>
      <c r="O67" s="50"/>
      <c r="P67" s="50"/>
      <c r="Q67" s="50">
        <v>2</v>
      </c>
      <c r="R67" s="50">
        <v>2</v>
      </c>
      <c r="S67" s="50">
        <v>2</v>
      </c>
      <c r="T67" s="50">
        <v>2</v>
      </c>
      <c r="U67" s="50">
        <v>2</v>
      </c>
      <c r="V67" s="50">
        <v>2</v>
      </c>
      <c r="W67" s="51">
        <v>2</v>
      </c>
      <c r="X67" s="51">
        <v>2</v>
      </c>
      <c r="Y67" s="50">
        <v>2</v>
      </c>
      <c r="Z67" s="50">
        <v>2</v>
      </c>
    </row>
    <row r="68" spans="1:26" ht="15" customHeight="1">
      <c r="A68" s="61"/>
      <c r="B68" s="48"/>
      <c r="C68" s="48"/>
      <c r="D68" s="48" t="s">
        <v>593</v>
      </c>
      <c r="E68" s="49"/>
      <c r="F68" s="49"/>
      <c r="G68" s="49">
        <v>1</v>
      </c>
      <c r="H68" s="49">
        <v>2</v>
      </c>
      <c r="I68" s="49">
        <v>2</v>
      </c>
      <c r="J68" s="49"/>
      <c r="K68" s="49"/>
      <c r="L68" s="49">
        <v>1</v>
      </c>
      <c r="M68" s="49">
        <v>2</v>
      </c>
      <c r="N68" s="49">
        <v>2</v>
      </c>
      <c r="O68" s="50">
        <v>1</v>
      </c>
      <c r="P68" s="50">
        <v>2</v>
      </c>
      <c r="Q68" s="50">
        <v>2</v>
      </c>
      <c r="R68" s="50">
        <v>3</v>
      </c>
      <c r="S68" s="50">
        <v>2</v>
      </c>
      <c r="T68" s="50">
        <v>3</v>
      </c>
      <c r="U68" s="50">
        <v>3</v>
      </c>
      <c r="V68" s="52">
        <v>3</v>
      </c>
      <c r="W68" s="51">
        <v>3</v>
      </c>
      <c r="X68" s="51">
        <v>3</v>
      </c>
      <c r="Y68" s="50">
        <v>2</v>
      </c>
      <c r="Z68" s="50">
        <v>2</v>
      </c>
    </row>
    <row r="69" spans="1:26" ht="15" customHeight="1">
      <c r="A69" s="61"/>
      <c r="B69" s="48"/>
      <c r="C69" s="48"/>
      <c r="D69" s="48" t="s">
        <v>594</v>
      </c>
      <c r="E69" s="49"/>
      <c r="F69" s="49"/>
      <c r="G69" s="49">
        <v>1</v>
      </c>
      <c r="H69" s="49">
        <v>2</v>
      </c>
      <c r="I69" s="49">
        <v>2</v>
      </c>
      <c r="J69" s="49"/>
      <c r="K69" s="49"/>
      <c r="L69" s="49">
        <v>1</v>
      </c>
      <c r="M69" s="49">
        <v>2</v>
      </c>
      <c r="N69" s="49">
        <v>2</v>
      </c>
      <c r="O69" s="50">
        <v>2</v>
      </c>
      <c r="P69" s="50">
        <v>2</v>
      </c>
      <c r="Q69" s="50">
        <v>2</v>
      </c>
      <c r="R69" s="50">
        <v>2</v>
      </c>
      <c r="S69" s="50">
        <v>2</v>
      </c>
      <c r="T69" s="50">
        <v>2</v>
      </c>
      <c r="U69" s="50">
        <v>2</v>
      </c>
      <c r="V69" s="52">
        <v>2</v>
      </c>
      <c r="W69" s="51">
        <v>2</v>
      </c>
      <c r="X69" s="51">
        <v>2</v>
      </c>
      <c r="Y69" s="50">
        <v>2</v>
      </c>
      <c r="Z69" s="50">
        <v>2</v>
      </c>
    </row>
    <row r="70" spans="1:26" ht="15" customHeight="1">
      <c r="A70" s="61"/>
      <c r="B70" s="48" t="s">
        <v>158</v>
      </c>
      <c r="C70" s="48"/>
      <c r="D70" s="48"/>
      <c r="E70" s="49"/>
      <c r="F70" s="49"/>
      <c r="G70" s="49"/>
      <c r="H70" s="49"/>
      <c r="I70" s="49"/>
      <c r="J70" s="49"/>
      <c r="K70" s="49"/>
      <c r="L70" s="49"/>
      <c r="M70" s="49"/>
      <c r="N70" s="49"/>
      <c r="O70" s="50"/>
      <c r="P70" s="50"/>
      <c r="Q70" s="50"/>
      <c r="R70" s="50"/>
      <c r="S70" s="50"/>
      <c r="T70" s="50"/>
      <c r="U70" s="50"/>
      <c r="V70" s="52"/>
      <c r="W70" s="51"/>
      <c r="X70" s="51"/>
      <c r="Y70" s="50"/>
      <c r="Z70" s="50"/>
    </row>
    <row r="71" spans="1:26" ht="15" customHeight="1">
      <c r="A71" s="61"/>
      <c r="B71" s="48"/>
      <c r="C71" s="48" t="s">
        <v>158</v>
      </c>
      <c r="D71" s="48" t="s">
        <v>595</v>
      </c>
      <c r="E71" s="49">
        <v>2</v>
      </c>
      <c r="F71" s="49">
        <v>2</v>
      </c>
      <c r="G71" s="49">
        <v>2</v>
      </c>
      <c r="H71" s="49">
        <v>2</v>
      </c>
      <c r="I71" s="49">
        <v>2</v>
      </c>
      <c r="J71" s="49">
        <v>2</v>
      </c>
      <c r="K71" s="49">
        <v>2</v>
      </c>
      <c r="L71" s="49">
        <v>2</v>
      </c>
      <c r="M71" s="49">
        <v>2</v>
      </c>
      <c r="N71" s="49">
        <v>2</v>
      </c>
      <c r="O71" s="50">
        <v>2</v>
      </c>
      <c r="P71" s="50">
        <v>2</v>
      </c>
      <c r="Q71" s="50">
        <v>2</v>
      </c>
      <c r="R71" s="50">
        <v>2</v>
      </c>
      <c r="S71" s="50">
        <v>2</v>
      </c>
      <c r="T71" s="50">
        <v>2</v>
      </c>
      <c r="U71" s="50">
        <v>3</v>
      </c>
      <c r="V71" s="52">
        <v>3</v>
      </c>
      <c r="W71" s="51">
        <v>2</v>
      </c>
      <c r="X71" s="51">
        <v>3</v>
      </c>
      <c r="Y71" s="50">
        <v>2</v>
      </c>
      <c r="Z71" s="50">
        <v>2</v>
      </c>
    </row>
    <row r="72" spans="1:26" ht="15" customHeight="1">
      <c r="A72" s="61"/>
      <c r="B72" s="48"/>
      <c r="C72" s="48"/>
      <c r="D72" s="48" t="s">
        <v>596</v>
      </c>
      <c r="E72" s="49"/>
      <c r="F72" s="49"/>
      <c r="G72" s="49">
        <v>1</v>
      </c>
      <c r="H72" s="49">
        <v>2</v>
      </c>
      <c r="I72" s="49">
        <v>2</v>
      </c>
      <c r="J72" s="49"/>
      <c r="K72" s="49"/>
      <c r="L72" s="49">
        <v>1</v>
      </c>
      <c r="M72" s="49">
        <v>2</v>
      </c>
      <c r="N72" s="49">
        <v>2</v>
      </c>
      <c r="O72" s="50">
        <v>2</v>
      </c>
      <c r="P72" s="50">
        <v>2</v>
      </c>
      <c r="Q72" s="50">
        <v>2</v>
      </c>
      <c r="R72" s="50">
        <v>2</v>
      </c>
      <c r="S72" s="50">
        <v>2</v>
      </c>
      <c r="T72" s="50">
        <v>2</v>
      </c>
      <c r="U72" s="50">
        <v>3</v>
      </c>
      <c r="V72" s="52">
        <v>3</v>
      </c>
      <c r="W72" s="51">
        <v>2</v>
      </c>
      <c r="X72" s="51">
        <v>3</v>
      </c>
      <c r="Y72" s="50">
        <v>2</v>
      </c>
      <c r="Z72" s="50">
        <v>2</v>
      </c>
    </row>
    <row r="73" spans="1:26" ht="15" customHeight="1">
      <c r="A73" s="61"/>
      <c r="B73" s="48"/>
      <c r="C73" s="48"/>
      <c r="D73" s="48" t="s">
        <v>597</v>
      </c>
      <c r="E73" s="49"/>
      <c r="F73" s="49"/>
      <c r="G73" s="49"/>
      <c r="H73" s="49"/>
      <c r="I73" s="49"/>
      <c r="J73" s="49"/>
      <c r="K73" s="49"/>
      <c r="L73" s="49"/>
      <c r="M73" s="49"/>
      <c r="N73" s="49"/>
      <c r="O73" s="50">
        <v>2</v>
      </c>
      <c r="P73" s="50">
        <v>2</v>
      </c>
      <c r="Q73" s="50">
        <v>2</v>
      </c>
      <c r="R73" s="50">
        <v>2</v>
      </c>
      <c r="S73" s="50">
        <v>2</v>
      </c>
      <c r="T73" s="50">
        <v>2</v>
      </c>
      <c r="U73" s="50">
        <v>3</v>
      </c>
      <c r="V73" s="52">
        <v>3</v>
      </c>
      <c r="W73" s="51">
        <v>2</v>
      </c>
      <c r="X73" s="51">
        <v>3</v>
      </c>
      <c r="Y73" s="50">
        <v>2</v>
      </c>
      <c r="Z73" s="50">
        <v>2</v>
      </c>
    </row>
    <row r="74" spans="1:26" ht="15" customHeight="1">
      <c r="A74" s="59" t="s">
        <v>598</v>
      </c>
      <c r="B74" s="48"/>
      <c r="C74" s="48"/>
      <c r="D74" s="48" t="s">
        <v>599</v>
      </c>
      <c r="E74" s="49"/>
      <c r="F74" s="49"/>
      <c r="G74" s="49"/>
      <c r="H74" s="49"/>
      <c r="I74" s="49"/>
      <c r="J74" s="49"/>
      <c r="K74" s="49"/>
      <c r="L74" s="49"/>
      <c r="M74" s="49"/>
      <c r="N74" s="49"/>
      <c r="O74" s="50">
        <v>2</v>
      </c>
      <c r="P74" s="50">
        <v>2</v>
      </c>
      <c r="Q74" s="50">
        <v>2</v>
      </c>
      <c r="R74" s="50">
        <v>2</v>
      </c>
      <c r="S74" s="50">
        <v>2</v>
      </c>
      <c r="T74" s="50">
        <v>2</v>
      </c>
      <c r="U74" s="50">
        <v>2</v>
      </c>
      <c r="V74" s="50">
        <v>2</v>
      </c>
      <c r="W74" s="51">
        <v>2</v>
      </c>
      <c r="X74" s="51">
        <v>2</v>
      </c>
      <c r="Y74" s="50">
        <v>2</v>
      </c>
      <c r="Z74" s="50">
        <v>2</v>
      </c>
    </row>
    <row r="75" spans="1:26" ht="15" customHeight="1">
      <c r="A75" s="60"/>
      <c r="B75" s="48"/>
      <c r="C75" s="48"/>
      <c r="D75" s="48" t="s">
        <v>600</v>
      </c>
      <c r="E75" s="49"/>
      <c r="F75" s="49"/>
      <c r="G75" s="49">
        <v>1</v>
      </c>
      <c r="H75" s="49">
        <v>2</v>
      </c>
      <c r="I75" s="49">
        <v>2</v>
      </c>
      <c r="J75" s="49"/>
      <c r="K75" s="49"/>
      <c r="L75" s="49">
        <v>1</v>
      </c>
      <c r="M75" s="49">
        <v>2</v>
      </c>
      <c r="N75" s="49">
        <v>2</v>
      </c>
      <c r="O75" s="50">
        <v>2</v>
      </c>
      <c r="P75" s="50">
        <v>2</v>
      </c>
      <c r="Q75" s="50">
        <v>2</v>
      </c>
      <c r="R75" s="50">
        <v>2</v>
      </c>
      <c r="S75" s="50">
        <v>2</v>
      </c>
      <c r="T75" s="50">
        <v>2</v>
      </c>
      <c r="U75" s="50">
        <v>2</v>
      </c>
      <c r="V75" s="52">
        <v>2</v>
      </c>
      <c r="W75" s="51">
        <v>2</v>
      </c>
      <c r="X75" s="51">
        <v>2</v>
      </c>
      <c r="Y75" s="50">
        <v>2</v>
      </c>
      <c r="Z75" s="50">
        <v>2</v>
      </c>
    </row>
    <row r="76" spans="1:26" ht="15" customHeight="1">
      <c r="A76" s="60"/>
      <c r="B76" s="48"/>
      <c r="C76" s="48"/>
      <c r="D76" s="48" t="s">
        <v>601</v>
      </c>
      <c r="E76" s="49">
        <v>2</v>
      </c>
      <c r="F76" s="49">
        <v>2</v>
      </c>
      <c r="G76" s="49">
        <v>2</v>
      </c>
      <c r="H76" s="49">
        <v>2</v>
      </c>
      <c r="I76" s="49">
        <v>2</v>
      </c>
      <c r="J76" s="49">
        <v>2</v>
      </c>
      <c r="K76" s="49">
        <v>2</v>
      </c>
      <c r="L76" s="49">
        <v>2</v>
      </c>
      <c r="M76" s="49">
        <v>2</v>
      </c>
      <c r="N76" s="49">
        <v>2</v>
      </c>
      <c r="O76" s="50">
        <v>2</v>
      </c>
      <c r="P76" s="50">
        <v>2</v>
      </c>
      <c r="Q76" s="50">
        <v>2</v>
      </c>
      <c r="R76" s="50">
        <v>2</v>
      </c>
      <c r="S76" s="50">
        <v>2</v>
      </c>
      <c r="T76" s="50">
        <v>2</v>
      </c>
      <c r="U76" s="50">
        <v>3</v>
      </c>
      <c r="V76" s="52">
        <v>3</v>
      </c>
      <c r="W76" s="51">
        <v>2</v>
      </c>
      <c r="X76" s="51">
        <v>3</v>
      </c>
      <c r="Y76" s="50">
        <v>2</v>
      </c>
      <c r="Z76" s="50">
        <v>2</v>
      </c>
    </row>
    <row r="77" spans="1:26" ht="15" customHeight="1">
      <c r="A77" s="60"/>
      <c r="B77" s="48" t="s">
        <v>164</v>
      </c>
      <c r="C77" s="48"/>
      <c r="D77" s="48"/>
      <c r="E77" s="49"/>
      <c r="F77" s="49"/>
      <c r="G77" s="49"/>
      <c r="H77" s="49"/>
      <c r="I77" s="49"/>
      <c r="J77" s="49"/>
      <c r="K77" s="49"/>
      <c r="L77" s="49"/>
      <c r="M77" s="49"/>
      <c r="N77" s="49"/>
      <c r="O77" s="50"/>
      <c r="P77" s="50"/>
      <c r="Q77" s="50"/>
      <c r="R77" s="50"/>
      <c r="S77" s="50"/>
      <c r="T77" s="50"/>
      <c r="U77" s="50"/>
      <c r="V77" s="52"/>
      <c r="W77" s="51"/>
      <c r="X77" s="51"/>
      <c r="Y77" s="50"/>
      <c r="Z77" s="50"/>
    </row>
    <row r="78" spans="1:26" ht="15" customHeight="1">
      <c r="A78" s="60"/>
      <c r="B78" s="48"/>
      <c r="C78" s="48" t="s">
        <v>602</v>
      </c>
      <c r="D78" s="48" t="s">
        <v>603</v>
      </c>
      <c r="E78" s="49">
        <v>1</v>
      </c>
      <c r="F78" s="49">
        <v>2</v>
      </c>
      <c r="G78" s="49">
        <v>2</v>
      </c>
      <c r="H78" s="49">
        <v>3</v>
      </c>
      <c r="I78" s="49">
        <v>3</v>
      </c>
      <c r="J78" s="49">
        <v>1</v>
      </c>
      <c r="K78" s="49">
        <v>1</v>
      </c>
      <c r="L78" s="49">
        <v>1</v>
      </c>
      <c r="M78" s="49">
        <v>1</v>
      </c>
      <c r="N78" s="49">
        <v>1</v>
      </c>
      <c r="O78" s="50">
        <v>3</v>
      </c>
      <c r="P78" s="50">
        <v>3</v>
      </c>
      <c r="Q78" s="50">
        <v>3</v>
      </c>
      <c r="R78" s="50">
        <v>3</v>
      </c>
      <c r="S78" s="50">
        <v>1</v>
      </c>
      <c r="T78" s="50">
        <v>1</v>
      </c>
      <c r="U78" s="50">
        <v>1</v>
      </c>
      <c r="V78" s="50">
        <v>1</v>
      </c>
      <c r="W78" s="51"/>
      <c r="X78" s="51"/>
      <c r="Y78" s="50">
        <v>3</v>
      </c>
      <c r="Z78" s="50">
        <v>3</v>
      </c>
    </row>
    <row r="79" spans="1:26" ht="15" customHeight="1">
      <c r="A79" s="60"/>
      <c r="B79" s="48"/>
      <c r="C79" s="48"/>
      <c r="D79" s="48" t="s">
        <v>604</v>
      </c>
      <c r="E79" s="49"/>
      <c r="F79" s="49">
        <v>2</v>
      </c>
      <c r="G79" s="49">
        <v>2</v>
      </c>
      <c r="H79" s="49">
        <v>3</v>
      </c>
      <c r="I79" s="49">
        <v>3</v>
      </c>
      <c r="J79" s="49"/>
      <c r="K79" s="49"/>
      <c r="L79" s="49"/>
      <c r="M79" s="49"/>
      <c r="N79" s="49"/>
      <c r="O79" s="50">
        <v>3</v>
      </c>
      <c r="P79" s="50">
        <v>3</v>
      </c>
      <c r="Q79" s="50">
        <v>3</v>
      </c>
      <c r="R79" s="50">
        <v>3</v>
      </c>
      <c r="S79" s="50">
        <v>1</v>
      </c>
      <c r="T79" s="50">
        <v>1</v>
      </c>
      <c r="U79" s="50">
        <v>1</v>
      </c>
      <c r="V79" s="50">
        <v>1</v>
      </c>
      <c r="W79" s="51"/>
      <c r="X79" s="51"/>
      <c r="Y79" s="50">
        <v>3</v>
      </c>
      <c r="Z79" s="50">
        <v>3</v>
      </c>
    </row>
    <row r="80" spans="1:26" ht="15" customHeight="1">
      <c r="A80" s="60"/>
      <c r="B80" s="48"/>
      <c r="C80" s="48"/>
      <c r="D80" s="48" t="s">
        <v>605</v>
      </c>
      <c r="E80" s="49">
        <v>1</v>
      </c>
      <c r="F80" s="49">
        <v>2</v>
      </c>
      <c r="G80" s="49">
        <v>2</v>
      </c>
      <c r="H80" s="49">
        <v>3</v>
      </c>
      <c r="I80" s="49">
        <v>3</v>
      </c>
      <c r="J80" s="49">
        <v>1</v>
      </c>
      <c r="K80" s="49">
        <v>1</v>
      </c>
      <c r="L80" s="49">
        <v>1</v>
      </c>
      <c r="M80" s="49">
        <v>1</v>
      </c>
      <c r="N80" s="49">
        <v>1</v>
      </c>
      <c r="O80" s="50">
        <v>3</v>
      </c>
      <c r="P80" s="50">
        <v>3</v>
      </c>
      <c r="Q80" s="50">
        <v>3</v>
      </c>
      <c r="R80" s="50">
        <v>3</v>
      </c>
      <c r="S80" s="50">
        <v>1</v>
      </c>
      <c r="T80" s="50">
        <v>1</v>
      </c>
      <c r="U80" s="50">
        <v>1</v>
      </c>
      <c r="V80" s="50">
        <v>1</v>
      </c>
      <c r="W80" s="51"/>
      <c r="X80" s="51"/>
      <c r="Y80" s="50">
        <v>3</v>
      </c>
      <c r="Z80" s="50">
        <v>3</v>
      </c>
    </row>
    <row r="81" spans="1:26" ht="15" customHeight="1">
      <c r="A81" s="60"/>
      <c r="B81" s="48"/>
      <c r="C81" s="48"/>
      <c r="D81" s="48" t="s">
        <v>606</v>
      </c>
      <c r="E81" s="49">
        <v>1</v>
      </c>
      <c r="F81" s="49">
        <v>2</v>
      </c>
      <c r="G81" s="49">
        <v>2</v>
      </c>
      <c r="H81" s="49">
        <v>3</v>
      </c>
      <c r="I81" s="49">
        <v>3</v>
      </c>
      <c r="J81" s="49"/>
      <c r="K81" s="49"/>
      <c r="L81" s="49"/>
      <c r="M81" s="49"/>
      <c r="N81" s="49"/>
      <c r="O81" s="50">
        <v>3</v>
      </c>
      <c r="P81" s="50">
        <v>3</v>
      </c>
      <c r="Q81" s="50">
        <v>3</v>
      </c>
      <c r="R81" s="50">
        <v>3</v>
      </c>
      <c r="S81" s="50">
        <v>1</v>
      </c>
      <c r="T81" s="50">
        <v>1</v>
      </c>
      <c r="U81" s="50">
        <v>1</v>
      </c>
      <c r="V81" s="50">
        <v>1</v>
      </c>
      <c r="W81" s="51"/>
      <c r="X81" s="51"/>
      <c r="Y81" s="50">
        <v>3</v>
      </c>
      <c r="Z81" s="50">
        <v>3</v>
      </c>
    </row>
    <row r="82" spans="1:26" ht="15" customHeight="1">
      <c r="A82" s="60"/>
      <c r="B82" s="48"/>
      <c r="C82" s="48"/>
      <c r="D82" s="48" t="s">
        <v>607</v>
      </c>
      <c r="E82" s="49">
        <v>1</v>
      </c>
      <c r="F82" s="49">
        <v>2</v>
      </c>
      <c r="G82" s="49">
        <v>2</v>
      </c>
      <c r="H82" s="49">
        <v>3</v>
      </c>
      <c r="I82" s="49">
        <v>3</v>
      </c>
      <c r="J82" s="49">
        <v>1</v>
      </c>
      <c r="K82" s="49">
        <v>1</v>
      </c>
      <c r="L82" s="49">
        <v>1</v>
      </c>
      <c r="M82" s="49">
        <v>1</v>
      </c>
      <c r="N82" s="49">
        <v>1</v>
      </c>
      <c r="O82" s="50">
        <v>3</v>
      </c>
      <c r="P82" s="50">
        <v>3</v>
      </c>
      <c r="Q82" s="50">
        <v>3</v>
      </c>
      <c r="R82" s="50">
        <v>3</v>
      </c>
      <c r="S82" s="50">
        <v>1</v>
      </c>
      <c r="T82" s="50">
        <v>1</v>
      </c>
      <c r="U82" s="50">
        <v>1</v>
      </c>
      <c r="V82" s="50">
        <v>1</v>
      </c>
      <c r="W82" s="51"/>
      <c r="X82" s="51"/>
      <c r="Y82" s="50">
        <v>3</v>
      </c>
      <c r="Z82" s="50">
        <v>3</v>
      </c>
    </row>
    <row r="83" spans="1:26" ht="15" customHeight="1">
      <c r="A83" s="60"/>
      <c r="B83" s="48"/>
      <c r="C83" s="48" t="s">
        <v>608</v>
      </c>
      <c r="D83" s="48" t="s">
        <v>609</v>
      </c>
      <c r="E83" s="49">
        <v>1</v>
      </c>
      <c r="F83" s="49">
        <v>2</v>
      </c>
      <c r="G83" s="49">
        <v>2</v>
      </c>
      <c r="H83" s="49">
        <v>3</v>
      </c>
      <c r="I83" s="49">
        <v>3</v>
      </c>
      <c r="J83" s="49">
        <v>1</v>
      </c>
      <c r="K83" s="49">
        <v>2</v>
      </c>
      <c r="L83" s="49">
        <v>2</v>
      </c>
      <c r="M83" s="49">
        <v>3</v>
      </c>
      <c r="N83" s="49">
        <v>3</v>
      </c>
      <c r="O83" s="50">
        <v>3</v>
      </c>
      <c r="P83" s="50">
        <v>3</v>
      </c>
      <c r="Q83" s="50">
        <v>3</v>
      </c>
      <c r="R83" s="50">
        <v>3</v>
      </c>
      <c r="S83" s="50">
        <v>1</v>
      </c>
      <c r="T83" s="50">
        <v>1</v>
      </c>
      <c r="U83" s="50">
        <v>1</v>
      </c>
      <c r="V83" s="50">
        <v>1</v>
      </c>
      <c r="W83" s="51"/>
      <c r="X83" s="51"/>
      <c r="Y83" s="50">
        <v>3</v>
      </c>
      <c r="Z83" s="50">
        <v>3</v>
      </c>
    </row>
    <row r="84" spans="1:26" ht="15" customHeight="1">
      <c r="A84" s="60"/>
      <c r="B84" s="48"/>
      <c r="C84" s="48"/>
      <c r="D84" s="48" t="s">
        <v>610</v>
      </c>
      <c r="E84" s="49"/>
      <c r="F84" s="49">
        <v>2</v>
      </c>
      <c r="G84" s="49">
        <v>2</v>
      </c>
      <c r="H84" s="49">
        <v>3</v>
      </c>
      <c r="I84" s="49">
        <v>3</v>
      </c>
      <c r="J84" s="49">
        <v>1</v>
      </c>
      <c r="K84" s="49">
        <v>2</v>
      </c>
      <c r="L84" s="49">
        <v>2</v>
      </c>
      <c r="M84" s="49">
        <v>3</v>
      </c>
      <c r="N84" s="49">
        <v>3</v>
      </c>
      <c r="O84" s="50">
        <v>3</v>
      </c>
      <c r="P84" s="50">
        <v>3</v>
      </c>
      <c r="Q84" s="50">
        <v>3</v>
      </c>
      <c r="R84" s="50">
        <v>3</v>
      </c>
      <c r="S84" s="50">
        <v>1</v>
      </c>
      <c r="T84" s="50">
        <v>1</v>
      </c>
      <c r="U84" s="50">
        <v>1</v>
      </c>
      <c r="V84" s="50">
        <v>1</v>
      </c>
      <c r="W84" s="51"/>
      <c r="X84" s="51"/>
      <c r="Y84" s="50">
        <v>3</v>
      </c>
      <c r="Z84" s="50">
        <v>3</v>
      </c>
    </row>
    <row r="85" spans="1:26">
      <c r="A85" s="60"/>
      <c r="B85" s="48"/>
      <c r="C85" s="48"/>
      <c r="D85" s="48" t="s">
        <v>611</v>
      </c>
      <c r="E85" s="49"/>
      <c r="F85" s="49">
        <v>2</v>
      </c>
      <c r="G85" s="49">
        <v>2</v>
      </c>
      <c r="H85" s="49">
        <v>3</v>
      </c>
      <c r="I85" s="49">
        <v>3</v>
      </c>
      <c r="J85" s="49">
        <v>1</v>
      </c>
      <c r="K85" s="49">
        <v>2</v>
      </c>
      <c r="L85" s="49">
        <v>2</v>
      </c>
      <c r="M85" s="49">
        <v>3</v>
      </c>
      <c r="N85" s="49">
        <v>3</v>
      </c>
      <c r="O85" s="50">
        <v>3</v>
      </c>
      <c r="P85" s="50">
        <v>3</v>
      </c>
      <c r="Q85" s="50">
        <v>3</v>
      </c>
      <c r="R85" s="50">
        <v>3</v>
      </c>
      <c r="S85" s="50">
        <v>1</v>
      </c>
      <c r="T85" s="50">
        <v>1</v>
      </c>
      <c r="U85" s="50">
        <v>1</v>
      </c>
      <c r="V85" s="50">
        <v>1</v>
      </c>
      <c r="W85" s="51"/>
      <c r="X85" s="51"/>
      <c r="Y85" s="50">
        <v>3</v>
      </c>
      <c r="Z85" s="50">
        <v>3</v>
      </c>
    </row>
    <row r="86" spans="1:26" ht="15" customHeight="1">
      <c r="A86" s="60"/>
      <c r="B86" s="48"/>
      <c r="C86" s="48"/>
      <c r="D86" s="48" t="s">
        <v>612</v>
      </c>
      <c r="E86" s="49">
        <v>1</v>
      </c>
      <c r="F86" s="49">
        <v>2</v>
      </c>
      <c r="G86" s="49">
        <v>2</v>
      </c>
      <c r="H86" s="49">
        <v>3</v>
      </c>
      <c r="I86" s="49">
        <v>3</v>
      </c>
      <c r="J86" s="49">
        <v>1</v>
      </c>
      <c r="K86" s="49">
        <v>2</v>
      </c>
      <c r="L86" s="49">
        <v>2</v>
      </c>
      <c r="M86" s="49">
        <v>3</v>
      </c>
      <c r="N86" s="49">
        <v>3</v>
      </c>
      <c r="O86" s="50">
        <v>3</v>
      </c>
      <c r="P86" s="50">
        <v>3</v>
      </c>
      <c r="Q86" s="50">
        <v>3</v>
      </c>
      <c r="R86" s="50">
        <v>3</v>
      </c>
      <c r="S86" s="50">
        <v>1</v>
      </c>
      <c r="T86" s="50">
        <v>1</v>
      </c>
      <c r="U86" s="50">
        <v>1</v>
      </c>
      <c r="V86" s="50">
        <v>1</v>
      </c>
      <c r="W86" s="51"/>
      <c r="X86" s="51"/>
      <c r="Y86" s="50">
        <v>3</v>
      </c>
      <c r="Z86" s="50">
        <v>3</v>
      </c>
    </row>
    <row r="87" spans="1:26" ht="15" customHeight="1">
      <c r="A87" s="60"/>
      <c r="B87" s="48" t="s">
        <v>172</v>
      </c>
      <c r="C87" s="48"/>
      <c r="D87" s="48"/>
      <c r="E87" s="49"/>
      <c r="F87" s="49"/>
      <c r="G87" s="49"/>
      <c r="H87" s="49"/>
      <c r="I87" s="49"/>
      <c r="J87" s="49"/>
      <c r="K87" s="49"/>
      <c r="L87" s="49"/>
      <c r="M87" s="49"/>
      <c r="N87" s="49"/>
      <c r="O87" s="50"/>
      <c r="P87" s="50"/>
      <c r="Q87" s="50"/>
      <c r="R87" s="50"/>
      <c r="S87" s="50"/>
      <c r="T87" s="50"/>
      <c r="U87" s="50"/>
      <c r="V87" s="52"/>
      <c r="W87" s="51"/>
      <c r="X87" s="51"/>
      <c r="Y87" s="50"/>
      <c r="Z87" s="50"/>
    </row>
    <row r="88" spans="1:26" ht="15" customHeight="1">
      <c r="A88" s="60"/>
      <c r="B88" s="48"/>
      <c r="C88" s="48" t="s">
        <v>613</v>
      </c>
      <c r="D88" s="48" t="s">
        <v>614</v>
      </c>
      <c r="E88" s="49">
        <v>2</v>
      </c>
      <c r="F88" s="49">
        <v>2</v>
      </c>
      <c r="G88" s="49">
        <v>3</v>
      </c>
      <c r="H88" s="49">
        <v>3</v>
      </c>
      <c r="I88" s="49">
        <v>3</v>
      </c>
      <c r="J88" s="49">
        <v>1</v>
      </c>
      <c r="K88" s="49">
        <v>1</v>
      </c>
      <c r="L88" s="49">
        <v>2</v>
      </c>
      <c r="M88" s="49">
        <v>2</v>
      </c>
      <c r="N88" s="49">
        <v>2</v>
      </c>
      <c r="O88" s="50">
        <v>3</v>
      </c>
      <c r="P88" s="50">
        <v>3</v>
      </c>
      <c r="Q88" s="50">
        <v>3</v>
      </c>
      <c r="R88" s="50">
        <v>3</v>
      </c>
      <c r="S88" s="50">
        <v>1</v>
      </c>
      <c r="T88" s="50">
        <v>1</v>
      </c>
      <c r="U88" s="50">
        <v>1</v>
      </c>
      <c r="V88" s="50">
        <v>1</v>
      </c>
      <c r="W88" s="51"/>
      <c r="X88" s="51"/>
      <c r="Y88" s="50">
        <v>3</v>
      </c>
      <c r="Z88" s="50">
        <v>3</v>
      </c>
    </row>
    <row r="89" spans="1:26" ht="15" customHeight="1">
      <c r="A89" s="60"/>
      <c r="B89" s="48"/>
      <c r="C89" s="48"/>
      <c r="D89" s="48" t="s">
        <v>615</v>
      </c>
      <c r="E89" s="49">
        <v>1</v>
      </c>
      <c r="F89" s="49">
        <v>2</v>
      </c>
      <c r="G89" s="49">
        <v>2</v>
      </c>
      <c r="H89" s="49">
        <v>3</v>
      </c>
      <c r="I89" s="49">
        <v>3</v>
      </c>
      <c r="J89" s="49"/>
      <c r="K89" s="49"/>
      <c r="L89" s="49"/>
      <c r="M89" s="49"/>
      <c r="N89" s="49"/>
      <c r="O89" s="50">
        <v>3</v>
      </c>
      <c r="P89" s="50">
        <v>3</v>
      </c>
      <c r="Q89" s="50">
        <v>3</v>
      </c>
      <c r="R89" s="50">
        <v>3</v>
      </c>
      <c r="S89" s="50">
        <v>1</v>
      </c>
      <c r="T89" s="50">
        <v>1</v>
      </c>
      <c r="U89" s="50">
        <v>1</v>
      </c>
      <c r="V89" s="50">
        <v>1</v>
      </c>
      <c r="W89" s="51"/>
      <c r="X89" s="51"/>
      <c r="Y89" s="50">
        <v>3</v>
      </c>
      <c r="Z89" s="50">
        <v>3</v>
      </c>
    </row>
    <row r="90" spans="1:26" ht="15" customHeight="1">
      <c r="A90" s="60"/>
      <c r="B90" s="48"/>
      <c r="C90" s="48"/>
      <c r="D90" s="48" t="s">
        <v>616</v>
      </c>
      <c r="E90" s="49">
        <v>1</v>
      </c>
      <c r="F90" s="49">
        <v>2</v>
      </c>
      <c r="G90" s="49">
        <v>2</v>
      </c>
      <c r="H90" s="49">
        <v>3</v>
      </c>
      <c r="I90" s="49">
        <v>3</v>
      </c>
      <c r="J90" s="49"/>
      <c r="K90" s="49"/>
      <c r="L90" s="49"/>
      <c r="M90" s="49"/>
      <c r="N90" s="49"/>
      <c r="O90" s="50">
        <v>3</v>
      </c>
      <c r="P90" s="50">
        <v>3</v>
      </c>
      <c r="Q90" s="50">
        <v>3</v>
      </c>
      <c r="R90" s="50">
        <v>3</v>
      </c>
      <c r="S90" s="50">
        <v>1</v>
      </c>
      <c r="T90" s="50">
        <v>1</v>
      </c>
      <c r="U90" s="50">
        <v>1</v>
      </c>
      <c r="V90" s="50">
        <v>1</v>
      </c>
      <c r="W90" s="51"/>
      <c r="X90" s="51"/>
      <c r="Y90" s="50">
        <v>3</v>
      </c>
      <c r="Z90" s="50">
        <v>3</v>
      </c>
    </row>
    <row r="91" spans="1:26" ht="15" customHeight="1">
      <c r="A91" s="60"/>
      <c r="B91" s="48"/>
      <c r="C91" s="48"/>
      <c r="D91" s="48" t="s">
        <v>617</v>
      </c>
      <c r="E91" s="49">
        <v>1</v>
      </c>
      <c r="F91" s="49">
        <v>2</v>
      </c>
      <c r="G91" s="49">
        <v>2</v>
      </c>
      <c r="H91" s="49">
        <v>3</v>
      </c>
      <c r="I91" s="49">
        <v>3</v>
      </c>
      <c r="J91" s="49"/>
      <c r="K91" s="49"/>
      <c r="L91" s="49"/>
      <c r="M91" s="49"/>
      <c r="N91" s="49"/>
      <c r="O91" s="50">
        <v>3</v>
      </c>
      <c r="P91" s="50">
        <v>3</v>
      </c>
      <c r="Q91" s="50">
        <v>3</v>
      </c>
      <c r="R91" s="50">
        <v>3</v>
      </c>
      <c r="S91" s="50">
        <v>1</v>
      </c>
      <c r="T91" s="50">
        <v>1</v>
      </c>
      <c r="U91" s="50">
        <v>1</v>
      </c>
      <c r="V91" s="50">
        <v>1</v>
      </c>
      <c r="W91" s="51"/>
      <c r="X91" s="51"/>
      <c r="Y91" s="50">
        <v>3</v>
      </c>
      <c r="Z91" s="50">
        <v>3</v>
      </c>
    </row>
    <row r="92" spans="1:26" ht="15" customHeight="1">
      <c r="A92" s="60"/>
      <c r="B92" s="48"/>
      <c r="C92" s="48"/>
      <c r="D92" s="48" t="s">
        <v>618</v>
      </c>
      <c r="E92" s="49"/>
      <c r="F92" s="49">
        <v>1</v>
      </c>
      <c r="G92" s="49">
        <v>1</v>
      </c>
      <c r="H92" s="49">
        <v>3</v>
      </c>
      <c r="I92" s="49">
        <v>3</v>
      </c>
      <c r="J92" s="49">
        <v>1</v>
      </c>
      <c r="K92" s="49">
        <v>1</v>
      </c>
      <c r="L92" s="49">
        <v>1</v>
      </c>
      <c r="M92" s="49">
        <v>2</v>
      </c>
      <c r="N92" s="49">
        <v>2</v>
      </c>
      <c r="O92" s="50">
        <v>3</v>
      </c>
      <c r="P92" s="50">
        <v>3</v>
      </c>
      <c r="Q92" s="50">
        <v>3</v>
      </c>
      <c r="R92" s="50">
        <v>3</v>
      </c>
      <c r="S92" s="50">
        <v>1</v>
      </c>
      <c r="T92" s="50">
        <v>1</v>
      </c>
      <c r="U92" s="50">
        <v>1</v>
      </c>
      <c r="V92" s="50">
        <v>1</v>
      </c>
      <c r="W92" s="51"/>
      <c r="X92" s="51"/>
      <c r="Y92" s="50">
        <v>3</v>
      </c>
      <c r="Z92" s="50">
        <v>3</v>
      </c>
    </row>
    <row r="93" spans="1:26" ht="15" customHeight="1">
      <c r="A93" s="60"/>
      <c r="B93" s="48"/>
      <c r="C93" s="48"/>
      <c r="D93" s="48" t="s">
        <v>619</v>
      </c>
      <c r="E93" s="49"/>
      <c r="F93" s="49">
        <v>1</v>
      </c>
      <c r="G93" s="49">
        <v>2</v>
      </c>
      <c r="H93" s="49">
        <v>3</v>
      </c>
      <c r="I93" s="49">
        <v>3</v>
      </c>
      <c r="J93" s="49">
        <v>1</v>
      </c>
      <c r="K93" s="49">
        <v>1</v>
      </c>
      <c r="L93" s="49">
        <v>1</v>
      </c>
      <c r="M93" s="49">
        <v>1</v>
      </c>
      <c r="N93" s="49">
        <v>1</v>
      </c>
      <c r="O93" s="50">
        <v>3</v>
      </c>
      <c r="P93" s="50">
        <v>3</v>
      </c>
      <c r="Q93" s="50">
        <v>3</v>
      </c>
      <c r="R93" s="50">
        <v>3</v>
      </c>
      <c r="S93" s="50">
        <v>1</v>
      </c>
      <c r="T93" s="50">
        <v>1</v>
      </c>
      <c r="U93" s="50">
        <v>1</v>
      </c>
      <c r="V93" s="50">
        <v>1</v>
      </c>
      <c r="W93" s="51"/>
      <c r="X93" s="51"/>
      <c r="Y93" s="50">
        <v>3</v>
      </c>
      <c r="Z93" s="50">
        <v>3</v>
      </c>
    </row>
    <row r="94" spans="1:26" ht="15" customHeight="1">
      <c r="A94" s="60"/>
      <c r="B94" s="48"/>
      <c r="C94" s="48"/>
      <c r="D94" s="48" t="s">
        <v>620</v>
      </c>
      <c r="E94" s="49">
        <v>1</v>
      </c>
      <c r="F94" s="49">
        <v>2</v>
      </c>
      <c r="G94" s="49">
        <v>2</v>
      </c>
      <c r="H94" s="49">
        <v>3</v>
      </c>
      <c r="I94" s="49">
        <v>3</v>
      </c>
      <c r="J94" s="49">
        <v>1</v>
      </c>
      <c r="K94" s="49">
        <v>2</v>
      </c>
      <c r="L94" s="49">
        <v>2</v>
      </c>
      <c r="M94" s="49">
        <v>3</v>
      </c>
      <c r="N94" s="49">
        <v>3</v>
      </c>
      <c r="O94" s="50">
        <v>3</v>
      </c>
      <c r="P94" s="50">
        <v>3</v>
      </c>
      <c r="Q94" s="50">
        <v>3</v>
      </c>
      <c r="R94" s="50">
        <v>3</v>
      </c>
      <c r="S94" s="50">
        <v>1</v>
      </c>
      <c r="T94" s="50">
        <v>1</v>
      </c>
      <c r="U94" s="50">
        <v>1</v>
      </c>
      <c r="V94" s="50">
        <v>1</v>
      </c>
      <c r="W94" s="51"/>
      <c r="X94" s="51"/>
      <c r="Y94" s="50">
        <v>3</v>
      </c>
      <c r="Z94" s="50">
        <v>3</v>
      </c>
    </row>
    <row r="95" spans="1:26">
      <c r="A95" s="60"/>
      <c r="B95" s="48"/>
      <c r="C95" s="48"/>
      <c r="D95" s="48" t="s">
        <v>621</v>
      </c>
      <c r="E95" s="49">
        <v>1</v>
      </c>
      <c r="F95" s="49">
        <v>1</v>
      </c>
      <c r="G95" s="49">
        <v>2</v>
      </c>
      <c r="H95" s="49">
        <v>3</v>
      </c>
      <c r="I95" s="49">
        <v>3</v>
      </c>
      <c r="J95" s="49">
        <v>1</v>
      </c>
      <c r="K95" s="49">
        <v>2</v>
      </c>
      <c r="L95" s="49">
        <v>2</v>
      </c>
      <c r="M95" s="49">
        <v>3</v>
      </c>
      <c r="N95" s="49">
        <v>3</v>
      </c>
      <c r="O95" s="50">
        <v>3</v>
      </c>
      <c r="P95" s="50">
        <v>3</v>
      </c>
      <c r="Q95" s="50">
        <v>3</v>
      </c>
      <c r="R95" s="50">
        <v>3</v>
      </c>
      <c r="S95" s="50">
        <v>1</v>
      </c>
      <c r="T95" s="50">
        <v>1</v>
      </c>
      <c r="U95" s="50">
        <v>1</v>
      </c>
      <c r="V95" s="50">
        <v>1</v>
      </c>
      <c r="W95" s="51"/>
      <c r="X95" s="51"/>
      <c r="Y95" s="50">
        <v>3</v>
      </c>
      <c r="Z95" s="50">
        <v>3</v>
      </c>
    </row>
    <row r="96" spans="1:26" ht="15" customHeight="1">
      <c r="A96" s="60"/>
      <c r="B96" s="48"/>
      <c r="C96" s="48"/>
      <c r="D96" s="48" t="s">
        <v>622</v>
      </c>
      <c r="E96" s="49"/>
      <c r="F96" s="49">
        <v>1</v>
      </c>
      <c r="G96" s="49">
        <v>2</v>
      </c>
      <c r="H96" s="49">
        <v>3</v>
      </c>
      <c r="I96" s="49">
        <v>3</v>
      </c>
      <c r="J96" s="49">
        <v>1</v>
      </c>
      <c r="K96" s="49">
        <v>2</v>
      </c>
      <c r="L96" s="49">
        <v>2</v>
      </c>
      <c r="M96" s="49">
        <v>3</v>
      </c>
      <c r="N96" s="49">
        <v>3</v>
      </c>
      <c r="O96" s="50">
        <v>3</v>
      </c>
      <c r="P96" s="50">
        <v>3</v>
      </c>
      <c r="Q96" s="50">
        <v>3</v>
      </c>
      <c r="R96" s="50">
        <v>3</v>
      </c>
      <c r="S96" s="50">
        <v>1</v>
      </c>
      <c r="T96" s="50">
        <v>1</v>
      </c>
      <c r="U96" s="50">
        <v>1</v>
      </c>
      <c r="V96" s="50">
        <v>1</v>
      </c>
      <c r="W96" s="51"/>
      <c r="X96" s="51"/>
      <c r="Y96" s="50">
        <v>3</v>
      </c>
      <c r="Z96" s="50">
        <v>3</v>
      </c>
    </row>
    <row r="97" spans="1:26" ht="15" customHeight="1">
      <c r="A97" s="60"/>
      <c r="B97" s="48" t="s">
        <v>180</v>
      </c>
      <c r="C97" s="48"/>
      <c r="D97" s="48"/>
      <c r="E97" s="49"/>
      <c r="F97" s="49"/>
      <c r="G97" s="49"/>
      <c r="H97" s="49"/>
      <c r="I97" s="49"/>
      <c r="J97" s="49"/>
      <c r="K97" s="49"/>
      <c r="L97" s="49"/>
      <c r="M97" s="49"/>
      <c r="N97" s="49"/>
      <c r="O97" s="50"/>
      <c r="P97" s="50"/>
      <c r="Q97" s="50"/>
      <c r="R97" s="50"/>
      <c r="S97" s="50"/>
      <c r="T97" s="50"/>
      <c r="U97" s="50"/>
      <c r="V97" s="52"/>
      <c r="W97" s="51"/>
      <c r="X97" s="51"/>
      <c r="Y97" s="50"/>
      <c r="Z97" s="50"/>
    </row>
    <row r="98" spans="1:26" ht="15" customHeight="1">
      <c r="A98" s="60"/>
      <c r="B98" s="48"/>
      <c r="C98" s="48" t="s">
        <v>180</v>
      </c>
      <c r="D98" s="48" t="s">
        <v>623</v>
      </c>
      <c r="E98" s="49"/>
      <c r="F98" s="49"/>
      <c r="G98" s="49">
        <v>2</v>
      </c>
      <c r="H98" s="49">
        <v>3</v>
      </c>
      <c r="I98" s="49">
        <v>3</v>
      </c>
      <c r="J98" s="49">
        <v>1</v>
      </c>
      <c r="K98" s="49">
        <v>2</v>
      </c>
      <c r="L98" s="49">
        <v>2</v>
      </c>
      <c r="M98" s="49">
        <v>2</v>
      </c>
      <c r="N98" s="49">
        <v>2</v>
      </c>
      <c r="O98" s="50">
        <v>3</v>
      </c>
      <c r="P98" s="50">
        <v>3</v>
      </c>
      <c r="Q98" s="50">
        <v>3</v>
      </c>
      <c r="R98" s="50">
        <v>3</v>
      </c>
      <c r="S98" s="50">
        <v>2</v>
      </c>
      <c r="T98" s="50">
        <v>2</v>
      </c>
      <c r="U98" s="50">
        <v>2</v>
      </c>
      <c r="V98" s="50">
        <v>2</v>
      </c>
      <c r="W98" s="51"/>
      <c r="X98" s="51"/>
      <c r="Y98" s="50">
        <v>3</v>
      </c>
      <c r="Z98" s="50">
        <v>3</v>
      </c>
    </row>
    <row r="99" spans="1:26" ht="15" customHeight="1">
      <c r="A99" s="60"/>
      <c r="B99" s="48"/>
      <c r="C99" s="48"/>
      <c r="D99" s="48" t="s">
        <v>624</v>
      </c>
      <c r="E99" s="49"/>
      <c r="F99" s="49"/>
      <c r="G99" s="49">
        <v>2</v>
      </c>
      <c r="H99" s="49">
        <v>3</v>
      </c>
      <c r="I99" s="49">
        <v>3</v>
      </c>
      <c r="J99" s="49"/>
      <c r="K99" s="49"/>
      <c r="L99" s="49"/>
      <c r="M99" s="49">
        <v>1</v>
      </c>
      <c r="N99" s="49">
        <v>1</v>
      </c>
      <c r="O99" s="50">
        <v>3</v>
      </c>
      <c r="P99" s="50">
        <v>3</v>
      </c>
      <c r="Q99" s="50">
        <v>3</v>
      </c>
      <c r="R99" s="50">
        <v>3</v>
      </c>
      <c r="S99" s="50">
        <v>1</v>
      </c>
      <c r="T99" s="50">
        <v>1</v>
      </c>
      <c r="U99" s="50">
        <v>1</v>
      </c>
      <c r="V99" s="50">
        <v>1</v>
      </c>
      <c r="W99" s="51"/>
      <c r="X99" s="51"/>
      <c r="Y99" s="50">
        <v>3</v>
      </c>
      <c r="Z99" s="50">
        <v>3</v>
      </c>
    </row>
    <row r="100" spans="1:26" ht="15" customHeight="1">
      <c r="A100" s="60"/>
      <c r="B100" s="48"/>
      <c r="C100" s="48"/>
      <c r="D100" s="48" t="s">
        <v>625</v>
      </c>
      <c r="E100" s="49"/>
      <c r="F100" s="49"/>
      <c r="G100" s="49">
        <v>2</v>
      </c>
      <c r="H100" s="49">
        <v>3</v>
      </c>
      <c r="I100" s="49">
        <v>3</v>
      </c>
      <c r="J100" s="49"/>
      <c r="K100" s="49"/>
      <c r="L100" s="49"/>
      <c r="M100" s="49">
        <v>1</v>
      </c>
      <c r="N100" s="49">
        <v>1</v>
      </c>
      <c r="O100" s="50">
        <v>3</v>
      </c>
      <c r="P100" s="50">
        <v>3</v>
      </c>
      <c r="Q100" s="50">
        <v>3</v>
      </c>
      <c r="R100" s="50">
        <v>3</v>
      </c>
      <c r="S100" s="50">
        <v>1</v>
      </c>
      <c r="T100" s="50">
        <v>1</v>
      </c>
      <c r="U100" s="50">
        <v>1</v>
      </c>
      <c r="V100" s="50">
        <v>1</v>
      </c>
      <c r="W100" s="51"/>
      <c r="X100" s="51"/>
      <c r="Y100" s="50">
        <v>3</v>
      </c>
      <c r="Z100" s="50">
        <v>3</v>
      </c>
    </row>
    <row r="101" spans="1:26" ht="15" customHeight="1">
      <c r="A101" s="60"/>
      <c r="B101" s="48"/>
      <c r="C101" s="48"/>
      <c r="D101" s="48" t="s">
        <v>626</v>
      </c>
      <c r="E101" s="49"/>
      <c r="F101" s="49"/>
      <c r="G101" s="49">
        <v>2</v>
      </c>
      <c r="H101" s="49">
        <v>3</v>
      </c>
      <c r="I101" s="49">
        <v>3</v>
      </c>
      <c r="J101" s="49"/>
      <c r="K101" s="49"/>
      <c r="L101" s="49"/>
      <c r="M101" s="49">
        <v>1</v>
      </c>
      <c r="N101" s="49">
        <v>1</v>
      </c>
      <c r="O101" s="50">
        <v>3</v>
      </c>
      <c r="P101" s="50">
        <v>3</v>
      </c>
      <c r="Q101" s="50">
        <v>3</v>
      </c>
      <c r="R101" s="50">
        <v>3</v>
      </c>
      <c r="S101" s="50">
        <v>1</v>
      </c>
      <c r="T101" s="50">
        <v>1</v>
      </c>
      <c r="U101" s="50">
        <v>1</v>
      </c>
      <c r="V101" s="50">
        <v>1</v>
      </c>
      <c r="W101" s="51"/>
      <c r="X101" s="51"/>
      <c r="Y101" s="50">
        <v>3</v>
      </c>
      <c r="Z101" s="50">
        <v>3</v>
      </c>
    </row>
    <row r="102" spans="1:26" ht="15" customHeight="1">
      <c r="A102" s="60"/>
      <c r="B102" s="48"/>
      <c r="C102" s="48"/>
      <c r="D102" s="48" t="s">
        <v>627</v>
      </c>
      <c r="E102" s="49"/>
      <c r="F102" s="49"/>
      <c r="G102" s="49">
        <v>2</v>
      </c>
      <c r="H102" s="49">
        <v>3</v>
      </c>
      <c r="I102" s="49">
        <v>3</v>
      </c>
      <c r="J102" s="49"/>
      <c r="K102" s="49"/>
      <c r="L102" s="49"/>
      <c r="M102" s="49">
        <v>1</v>
      </c>
      <c r="N102" s="49">
        <v>1</v>
      </c>
      <c r="O102" s="50">
        <v>3</v>
      </c>
      <c r="P102" s="50">
        <v>3</v>
      </c>
      <c r="Q102" s="50">
        <v>3</v>
      </c>
      <c r="R102" s="50">
        <v>3</v>
      </c>
      <c r="S102" s="50">
        <v>1</v>
      </c>
      <c r="T102" s="50">
        <v>1</v>
      </c>
      <c r="U102" s="50">
        <v>1</v>
      </c>
      <c r="V102" s="50">
        <v>1</v>
      </c>
      <c r="W102" s="51"/>
      <c r="X102" s="51"/>
      <c r="Y102" s="50">
        <v>3</v>
      </c>
      <c r="Z102" s="50">
        <v>3</v>
      </c>
    </row>
    <row r="103" spans="1:26" ht="15" customHeight="1">
      <c r="A103" s="60"/>
      <c r="B103" s="48"/>
      <c r="C103" s="48"/>
      <c r="D103" s="48" t="s">
        <v>628</v>
      </c>
      <c r="E103" s="49"/>
      <c r="F103" s="49"/>
      <c r="G103" s="49">
        <v>2</v>
      </c>
      <c r="H103" s="49">
        <v>3</v>
      </c>
      <c r="I103" s="49">
        <v>3</v>
      </c>
      <c r="J103" s="49"/>
      <c r="K103" s="49"/>
      <c r="L103" s="49"/>
      <c r="M103" s="49">
        <v>1</v>
      </c>
      <c r="N103" s="49">
        <v>1</v>
      </c>
      <c r="O103" s="50">
        <v>3</v>
      </c>
      <c r="P103" s="50">
        <v>3</v>
      </c>
      <c r="Q103" s="50">
        <v>3</v>
      </c>
      <c r="R103" s="50">
        <v>3</v>
      </c>
      <c r="S103" s="50">
        <v>1</v>
      </c>
      <c r="T103" s="50">
        <v>1</v>
      </c>
      <c r="U103" s="50">
        <v>1</v>
      </c>
      <c r="V103" s="50">
        <v>1</v>
      </c>
      <c r="W103" s="51"/>
      <c r="X103" s="51"/>
      <c r="Y103" s="50">
        <v>3</v>
      </c>
      <c r="Z103" s="50">
        <v>3</v>
      </c>
    </row>
    <row r="104" spans="1:26" ht="15" customHeight="1">
      <c r="A104" s="60"/>
      <c r="B104" s="48"/>
      <c r="C104" s="48"/>
      <c r="D104" s="48" t="s">
        <v>629</v>
      </c>
      <c r="E104" s="49"/>
      <c r="F104" s="49"/>
      <c r="G104" s="49">
        <v>1</v>
      </c>
      <c r="H104" s="49">
        <v>3</v>
      </c>
      <c r="I104" s="49">
        <v>3</v>
      </c>
      <c r="J104" s="49"/>
      <c r="K104" s="49"/>
      <c r="L104" s="49"/>
      <c r="M104" s="49">
        <v>1</v>
      </c>
      <c r="N104" s="49">
        <v>1</v>
      </c>
      <c r="O104" s="50">
        <v>3</v>
      </c>
      <c r="P104" s="50">
        <v>3</v>
      </c>
      <c r="Q104" s="50">
        <v>3</v>
      </c>
      <c r="R104" s="50">
        <v>3</v>
      </c>
      <c r="S104" s="50">
        <v>1</v>
      </c>
      <c r="T104" s="50">
        <v>1</v>
      </c>
      <c r="U104" s="50">
        <v>1</v>
      </c>
      <c r="V104" s="50">
        <v>1</v>
      </c>
      <c r="W104" s="51"/>
      <c r="X104" s="51"/>
      <c r="Y104" s="50">
        <v>3</v>
      </c>
      <c r="Z104" s="50">
        <v>3</v>
      </c>
    </row>
    <row r="105" spans="1:26">
      <c r="A105" s="60"/>
      <c r="B105" s="48"/>
      <c r="C105" s="48"/>
      <c r="D105" s="48" t="s">
        <v>630</v>
      </c>
      <c r="E105" s="49"/>
      <c r="F105" s="49"/>
      <c r="G105" s="49">
        <v>2</v>
      </c>
      <c r="H105" s="49">
        <v>3</v>
      </c>
      <c r="I105" s="49">
        <v>3</v>
      </c>
      <c r="J105" s="49">
        <v>1</v>
      </c>
      <c r="K105" s="49">
        <v>2</v>
      </c>
      <c r="L105" s="49">
        <v>2</v>
      </c>
      <c r="M105" s="49">
        <v>3</v>
      </c>
      <c r="N105" s="49">
        <v>3</v>
      </c>
      <c r="O105" s="50">
        <v>3</v>
      </c>
      <c r="P105" s="50">
        <v>3</v>
      </c>
      <c r="Q105" s="50">
        <v>3</v>
      </c>
      <c r="R105" s="50">
        <v>3</v>
      </c>
      <c r="S105" s="50">
        <v>1</v>
      </c>
      <c r="T105" s="50">
        <v>1</v>
      </c>
      <c r="U105" s="50">
        <v>1</v>
      </c>
      <c r="V105" s="50">
        <v>1</v>
      </c>
      <c r="W105" s="51"/>
      <c r="X105" s="51"/>
      <c r="Y105" s="50">
        <v>3</v>
      </c>
      <c r="Z105" s="50">
        <v>3</v>
      </c>
    </row>
    <row r="106" spans="1:26" ht="15" customHeight="1">
      <c r="A106" s="60"/>
      <c r="B106" s="48"/>
      <c r="C106" s="48"/>
      <c r="D106" s="48" t="s">
        <v>631</v>
      </c>
      <c r="E106" s="49"/>
      <c r="F106" s="49"/>
      <c r="G106" s="49">
        <v>2</v>
      </c>
      <c r="H106" s="49">
        <v>3</v>
      </c>
      <c r="I106" s="49">
        <v>3</v>
      </c>
      <c r="J106" s="49">
        <v>1</v>
      </c>
      <c r="K106" s="49">
        <v>2</v>
      </c>
      <c r="L106" s="49">
        <v>2</v>
      </c>
      <c r="M106" s="49">
        <v>3</v>
      </c>
      <c r="N106" s="49">
        <v>3</v>
      </c>
      <c r="O106" s="52">
        <v>3</v>
      </c>
      <c r="P106" s="52">
        <v>3</v>
      </c>
      <c r="Q106" s="52">
        <v>3</v>
      </c>
      <c r="R106" s="52">
        <v>3</v>
      </c>
      <c r="S106" s="50">
        <v>1</v>
      </c>
      <c r="T106" s="50">
        <v>1</v>
      </c>
      <c r="U106" s="50">
        <v>1</v>
      </c>
      <c r="V106" s="50">
        <v>1</v>
      </c>
      <c r="W106" s="51"/>
      <c r="X106" s="51"/>
      <c r="Y106" s="52">
        <v>3</v>
      </c>
      <c r="Z106" s="52">
        <v>3</v>
      </c>
    </row>
    <row r="107" spans="1:26" ht="15" customHeight="1">
      <c r="A107" s="60"/>
      <c r="B107" s="48" t="s">
        <v>186</v>
      </c>
      <c r="C107" s="48"/>
      <c r="D107" s="48"/>
      <c r="E107" s="49"/>
      <c r="F107" s="49"/>
      <c r="G107" s="49"/>
      <c r="H107" s="49"/>
      <c r="I107" s="49"/>
      <c r="J107" s="49"/>
      <c r="K107" s="49"/>
      <c r="L107" s="49"/>
      <c r="M107" s="49"/>
      <c r="N107" s="49"/>
      <c r="O107" s="52"/>
      <c r="P107" s="52"/>
      <c r="Q107" s="52"/>
      <c r="R107" s="52"/>
      <c r="S107" s="50"/>
      <c r="T107" s="50"/>
      <c r="U107" s="50"/>
      <c r="V107" s="52"/>
      <c r="W107" s="51"/>
      <c r="X107" s="51"/>
      <c r="Y107" s="52"/>
      <c r="Z107" s="52"/>
    </row>
    <row r="108" spans="1:26" ht="15" customHeight="1">
      <c r="A108" s="60"/>
      <c r="B108" s="48"/>
      <c r="C108" s="48" t="s">
        <v>186</v>
      </c>
      <c r="D108" s="48" t="s">
        <v>632</v>
      </c>
      <c r="E108" s="49"/>
      <c r="F108" s="49"/>
      <c r="G108" s="49"/>
      <c r="H108" s="49"/>
      <c r="I108" s="49"/>
      <c r="J108" s="49"/>
      <c r="K108" s="49"/>
      <c r="L108" s="49"/>
      <c r="M108" s="49"/>
      <c r="N108" s="49"/>
      <c r="O108" s="52"/>
      <c r="P108" s="52"/>
      <c r="Q108" s="52"/>
      <c r="R108" s="52"/>
      <c r="S108" s="50">
        <v>1</v>
      </c>
      <c r="T108" s="50">
        <v>1</v>
      </c>
      <c r="U108" s="50">
        <v>1</v>
      </c>
      <c r="V108" s="52">
        <v>1</v>
      </c>
      <c r="W108" s="51">
        <v>1</v>
      </c>
      <c r="X108" s="51">
        <v>1</v>
      </c>
      <c r="Y108" s="52"/>
      <c r="Z108" s="52"/>
    </row>
    <row r="109" spans="1:26" ht="15" customHeight="1">
      <c r="A109" s="60"/>
      <c r="B109" s="48"/>
      <c r="C109" s="48"/>
      <c r="D109" s="48" t="s">
        <v>633</v>
      </c>
      <c r="E109" s="49"/>
      <c r="F109" s="49"/>
      <c r="G109" s="49"/>
      <c r="H109" s="49"/>
      <c r="I109" s="49"/>
      <c r="J109" s="49"/>
      <c r="K109" s="49"/>
      <c r="L109" s="49"/>
      <c r="M109" s="49"/>
      <c r="N109" s="49"/>
      <c r="O109" s="52"/>
      <c r="P109" s="52">
        <v>1</v>
      </c>
      <c r="Q109" s="52">
        <v>2</v>
      </c>
      <c r="R109" s="52">
        <v>3</v>
      </c>
      <c r="S109" s="50"/>
      <c r="T109" s="50"/>
      <c r="U109" s="50"/>
      <c r="V109" s="52"/>
      <c r="W109" s="51"/>
      <c r="X109" s="51"/>
      <c r="Y109" s="52">
        <v>1</v>
      </c>
      <c r="Z109" s="52">
        <v>2</v>
      </c>
    </row>
    <row r="110" spans="1:26" ht="15" customHeight="1">
      <c r="A110" s="60"/>
      <c r="B110" s="48"/>
      <c r="C110" s="48"/>
      <c r="D110" s="48" t="s">
        <v>634</v>
      </c>
      <c r="E110" s="49"/>
      <c r="F110" s="49"/>
      <c r="G110" s="49"/>
      <c r="H110" s="49"/>
      <c r="I110" s="49"/>
      <c r="J110" s="49"/>
      <c r="K110" s="49"/>
      <c r="L110" s="49"/>
      <c r="M110" s="49"/>
      <c r="N110" s="49"/>
      <c r="O110" s="52"/>
      <c r="P110" s="52"/>
      <c r="Q110" s="52"/>
      <c r="R110" s="52"/>
      <c r="S110" s="50">
        <v>1</v>
      </c>
      <c r="T110" s="50">
        <v>1</v>
      </c>
      <c r="U110" s="50">
        <v>2</v>
      </c>
      <c r="V110" s="52">
        <v>3</v>
      </c>
      <c r="W110" s="51">
        <v>1</v>
      </c>
      <c r="X110" s="51">
        <v>2</v>
      </c>
      <c r="Y110" s="52"/>
      <c r="Z110" s="52"/>
    </row>
    <row r="111" spans="1:26" ht="15" customHeight="1">
      <c r="A111" s="60"/>
      <c r="B111" s="48"/>
      <c r="C111" s="48"/>
      <c r="D111" s="48" t="s">
        <v>635</v>
      </c>
      <c r="E111" s="49"/>
      <c r="F111" s="49"/>
      <c r="G111" s="49"/>
      <c r="H111" s="49"/>
      <c r="I111" s="49"/>
      <c r="J111" s="49"/>
      <c r="K111" s="49"/>
      <c r="L111" s="49"/>
      <c r="M111" s="49"/>
      <c r="N111" s="49"/>
      <c r="O111" s="52"/>
      <c r="P111" s="52"/>
      <c r="Q111" s="52"/>
      <c r="R111" s="52"/>
      <c r="S111" s="50">
        <v>1</v>
      </c>
      <c r="T111" s="50">
        <v>1</v>
      </c>
      <c r="U111" s="50">
        <v>2</v>
      </c>
      <c r="V111" s="52">
        <v>3</v>
      </c>
      <c r="W111" s="51">
        <v>1</v>
      </c>
      <c r="X111" s="51">
        <v>2</v>
      </c>
      <c r="Y111" s="52"/>
      <c r="Z111" s="52"/>
    </row>
    <row r="112" spans="1:26" ht="15" customHeight="1">
      <c r="A112" s="60"/>
      <c r="B112" s="48"/>
      <c r="C112" s="48"/>
      <c r="D112" s="48" t="s">
        <v>636</v>
      </c>
      <c r="E112" s="49"/>
      <c r="F112" s="49"/>
      <c r="G112" s="49"/>
      <c r="H112" s="49"/>
      <c r="I112" s="49"/>
      <c r="J112" s="49"/>
      <c r="K112" s="49"/>
      <c r="L112" s="49"/>
      <c r="M112" s="49"/>
      <c r="N112" s="49"/>
      <c r="O112" s="52"/>
      <c r="P112" s="52"/>
      <c r="Q112" s="52"/>
      <c r="R112" s="52"/>
      <c r="S112" s="50">
        <v>1</v>
      </c>
      <c r="T112" s="50">
        <v>1</v>
      </c>
      <c r="U112" s="50">
        <v>2</v>
      </c>
      <c r="V112" s="52">
        <v>3</v>
      </c>
      <c r="W112" s="51">
        <v>1</v>
      </c>
      <c r="X112" s="51">
        <v>2</v>
      </c>
      <c r="Y112" s="52"/>
      <c r="Z112" s="52"/>
    </row>
    <row r="113" spans="1:26" ht="15" customHeight="1">
      <c r="A113" s="60"/>
      <c r="B113" s="48"/>
      <c r="C113" s="48"/>
      <c r="D113" s="48" t="s">
        <v>637</v>
      </c>
      <c r="E113" s="49"/>
      <c r="F113" s="49"/>
      <c r="G113" s="49"/>
      <c r="H113" s="49"/>
      <c r="I113" s="49"/>
      <c r="J113" s="49"/>
      <c r="K113" s="49"/>
      <c r="L113" s="49"/>
      <c r="M113" s="49"/>
      <c r="N113" s="49"/>
      <c r="O113" s="52"/>
      <c r="P113" s="52">
        <v>1</v>
      </c>
      <c r="Q113" s="52">
        <v>2</v>
      </c>
      <c r="R113" s="52">
        <v>3</v>
      </c>
      <c r="S113" s="50"/>
      <c r="T113" s="50"/>
      <c r="U113" s="50"/>
      <c r="V113" s="52"/>
      <c r="W113" s="51"/>
      <c r="X113" s="51"/>
      <c r="Y113" s="52">
        <v>1</v>
      </c>
      <c r="Z113" s="52">
        <v>2</v>
      </c>
    </row>
    <row r="114" spans="1:26" ht="15" customHeight="1">
      <c r="A114" s="60"/>
      <c r="B114" s="48"/>
      <c r="C114" s="48"/>
      <c r="D114" s="48" t="s">
        <v>638</v>
      </c>
      <c r="E114" s="49"/>
      <c r="F114" s="49"/>
      <c r="G114" s="49"/>
      <c r="H114" s="49"/>
      <c r="I114" s="49"/>
      <c r="J114" s="49"/>
      <c r="K114" s="49"/>
      <c r="L114" s="49"/>
      <c r="M114" s="49"/>
      <c r="N114" s="49"/>
      <c r="O114" s="50"/>
      <c r="P114" s="50"/>
      <c r="Q114" s="50"/>
      <c r="R114" s="50"/>
      <c r="S114" s="50"/>
      <c r="T114" s="50"/>
      <c r="U114" s="50"/>
      <c r="V114" s="50"/>
      <c r="W114" s="51"/>
      <c r="X114" s="51"/>
      <c r="Y114" s="50"/>
      <c r="Z114" s="50"/>
    </row>
    <row r="115" spans="1:26" ht="15" customHeight="1">
      <c r="A115" s="60"/>
      <c r="B115" s="48"/>
      <c r="C115" s="48"/>
      <c r="D115" s="48" t="s">
        <v>639</v>
      </c>
      <c r="E115" s="49"/>
      <c r="F115" s="49"/>
      <c r="G115" s="49"/>
      <c r="H115" s="49"/>
      <c r="I115" s="49"/>
      <c r="J115" s="49"/>
      <c r="K115" s="49"/>
      <c r="L115" s="49"/>
      <c r="M115" s="49"/>
      <c r="N115" s="49"/>
      <c r="O115" s="50">
        <v>1</v>
      </c>
      <c r="P115" s="50">
        <v>1</v>
      </c>
      <c r="Q115" s="50">
        <v>2</v>
      </c>
      <c r="R115" s="50">
        <v>3</v>
      </c>
      <c r="S115" s="50">
        <v>1</v>
      </c>
      <c r="T115" s="50">
        <v>1</v>
      </c>
      <c r="U115" s="50">
        <v>2</v>
      </c>
      <c r="V115" s="50">
        <v>3</v>
      </c>
      <c r="W115" s="51">
        <v>1</v>
      </c>
      <c r="X115" s="51">
        <v>2</v>
      </c>
      <c r="Y115" s="50"/>
      <c r="Z115" s="50"/>
    </row>
    <row r="116" spans="1:26" ht="15" customHeight="1">
      <c r="A116" s="60"/>
      <c r="B116" s="48" t="s">
        <v>640</v>
      </c>
      <c r="C116" s="48"/>
      <c r="D116" s="48"/>
      <c r="E116" s="49"/>
      <c r="F116" s="49"/>
      <c r="G116" s="49"/>
      <c r="H116" s="49"/>
      <c r="I116" s="49"/>
      <c r="J116" s="49"/>
      <c r="K116" s="49"/>
      <c r="L116" s="49"/>
      <c r="M116" s="49"/>
      <c r="N116" s="49"/>
      <c r="O116" s="50"/>
      <c r="P116" s="50"/>
      <c r="Q116" s="50"/>
      <c r="R116" s="50"/>
      <c r="S116" s="50"/>
      <c r="T116" s="50"/>
      <c r="U116" s="50"/>
      <c r="V116" s="50"/>
      <c r="W116" s="51"/>
      <c r="X116" s="51"/>
      <c r="Y116" s="50"/>
      <c r="Z116" s="50"/>
    </row>
    <row r="117" spans="1:26" ht="15" customHeight="1">
      <c r="A117" s="60"/>
      <c r="B117" s="48"/>
      <c r="C117" s="48" t="s">
        <v>640</v>
      </c>
      <c r="D117" s="48" t="s">
        <v>641</v>
      </c>
      <c r="E117" s="49">
        <v>2</v>
      </c>
      <c r="F117" s="49">
        <v>2</v>
      </c>
      <c r="G117" s="49">
        <v>2</v>
      </c>
      <c r="H117" s="49">
        <v>3</v>
      </c>
      <c r="I117" s="49">
        <v>3</v>
      </c>
      <c r="J117" s="49">
        <v>2</v>
      </c>
      <c r="K117" s="49">
        <v>2</v>
      </c>
      <c r="L117" s="49">
        <v>2</v>
      </c>
      <c r="M117" s="49">
        <v>3</v>
      </c>
      <c r="N117" s="49">
        <v>3</v>
      </c>
      <c r="O117" s="50">
        <v>3</v>
      </c>
      <c r="P117" s="50">
        <v>3</v>
      </c>
      <c r="Q117" s="50">
        <v>3</v>
      </c>
      <c r="R117" s="50">
        <v>3</v>
      </c>
      <c r="S117" s="50">
        <v>2</v>
      </c>
      <c r="T117" s="50">
        <v>2</v>
      </c>
      <c r="U117" s="50">
        <v>2</v>
      </c>
      <c r="V117" s="50">
        <v>2</v>
      </c>
      <c r="W117" s="51">
        <v>2</v>
      </c>
      <c r="X117" s="51">
        <v>2</v>
      </c>
      <c r="Y117" s="50">
        <v>3</v>
      </c>
      <c r="Z117" s="50">
        <v>3</v>
      </c>
    </row>
    <row r="118" spans="1:26" ht="15" customHeight="1">
      <c r="A118" s="60"/>
      <c r="B118" s="48"/>
      <c r="C118" s="48"/>
      <c r="D118" s="48" t="s">
        <v>642</v>
      </c>
      <c r="E118" s="49">
        <v>1</v>
      </c>
      <c r="F118" s="49">
        <v>1</v>
      </c>
      <c r="G118" s="49">
        <v>2</v>
      </c>
      <c r="H118" s="49">
        <v>3</v>
      </c>
      <c r="I118" s="49">
        <v>3</v>
      </c>
      <c r="J118" s="49"/>
      <c r="K118" s="49"/>
      <c r="L118" s="49"/>
      <c r="M118" s="49">
        <v>1</v>
      </c>
      <c r="N118" s="49">
        <v>1</v>
      </c>
      <c r="O118" s="50">
        <v>3</v>
      </c>
      <c r="P118" s="50">
        <v>3</v>
      </c>
      <c r="Q118" s="50">
        <v>3</v>
      </c>
      <c r="R118" s="50">
        <v>3</v>
      </c>
      <c r="S118" s="50">
        <v>1</v>
      </c>
      <c r="T118" s="50">
        <v>1</v>
      </c>
      <c r="U118" s="50">
        <v>1</v>
      </c>
      <c r="V118" s="50">
        <v>1</v>
      </c>
      <c r="W118" s="51">
        <v>1</v>
      </c>
      <c r="X118" s="51">
        <v>1</v>
      </c>
      <c r="Y118" s="50">
        <v>3</v>
      </c>
      <c r="Z118" s="50">
        <v>3</v>
      </c>
    </row>
    <row r="119" spans="1:26" ht="15" customHeight="1">
      <c r="A119" s="60"/>
      <c r="B119" s="48"/>
      <c r="C119" s="48"/>
      <c r="D119" s="48" t="s">
        <v>643</v>
      </c>
      <c r="E119" s="49">
        <v>1</v>
      </c>
      <c r="F119" s="49">
        <v>1</v>
      </c>
      <c r="G119" s="49">
        <v>2</v>
      </c>
      <c r="H119" s="49">
        <v>3</v>
      </c>
      <c r="I119" s="49">
        <v>3</v>
      </c>
      <c r="J119" s="49"/>
      <c r="K119" s="49"/>
      <c r="L119" s="49"/>
      <c r="M119" s="49">
        <v>1</v>
      </c>
      <c r="N119" s="49">
        <v>1</v>
      </c>
      <c r="O119" s="50">
        <v>3</v>
      </c>
      <c r="P119" s="50">
        <v>3</v>
      </c>
      <c r="Q119" s="50">
        <v>3</v>
      </c>
      <c r="R119" s="50">
        <v>3</v>
      </c>
      <c r="S119" s="50">
        <v>1</v>
      </c>
      <c r="T119" s="50">
        <v>1</v>
      </c>
      <c r="U119" s="50">
        <v>1</v>
      </c>
      <c r="V119" s="50">
        <v>1</v>
      </c>
      <c r="W119" s="51">
        <v>1</v>
      </c>
      <c r="X119" s="51">
        <v>1</v>
      </c>
      <c r="Y119" s="50">
        <v>3</v>
      </c>
      <c r="Z119" s="50">
        <v>3</v>
      </c>
    </row>
    <row r="120" spans="1:26" ht="15" customHeight="1">
      <c r="A120" s="60"/>
      <c r="B120" s="48"/>
      <c r="C120" s="48"/>
      <c r="D120" s="48" t="s">
        <v>644</v>
      </c>
      <c r="E120" s="49"/>
      <c r="F120" s="49">
        <v>1</v>
      </c>
      <c r="G120" s="49">
        <v>2</v>
      </c>
      <c r="H120" s="49">
        <v>3</v>
      </c>
      <c r="I120" s="49">
        <v>3</v>
      </c>
      <c r="J120" s="49"/>
      <c r="K120" s="49"/>
      <c r="L120" s="49"/>
      <c r="M120" s="49">
        <v>1</v>
      </c>
      <c r="N120" s="49">
        <v>1</v>
      </c>
      <c r="O120" s="50">
        <v>3</v>
      </c>
      <c r="P120" s="50">
        <v>3</v>
      </c>
      <c r="Q120" s="50">
        <v>3</v>
      </c>
      <c r="R120" s="50">
        <v>3</v>
      </c>
      <c r="S120" s="50">
        <v>1</v>
      </c>
      <c r="T120" s="50">
        <v>1</v>
      </c>
      <c r="U120" s="50">
        <v>1</v>
      </c>
      <c r="V120" s="50">
        <v>1</v>
      </c>
      <c r="W120" s="51">
        <v>1</v>
      </c>
      <c r="X120" s="51">
        <v>1</v>
      </c>
      <c r="Y120" s="50">
        <v>3</v>
      </c>
      <c r="Z120" s="50">
        <v>3</v>
      </c>
    </row>
    <row r="121" spans="1:26" ht="15" customHeight="1">
      <c r="A121" s="60"/>
      <c r="B121" s="48"/>
      <c r="C121" s="48"/>
      <c r="D121" s="48" t="s">
        <v>645</v>
      </c>
      <c r="E121" s="49"/>
      <c r="F121" s="49">
        <v>1</v>
      </c>
      <c r="G121" s="49">
        <v>2</v>
      </c>
      <c r="H121" s="49">
        <v>3</v>
      </c>
      <c r="I121" s="49">
        <v>3</v>
      </c>
      <c r="J121" s="49"/>
      <c r="K121" s="49"/>
      <c r="L121" s="49"/>
      <c r="M121" s="49">
        <v>1</v>
      </c>
      <c r="N121" s="49">
        <v>1</v>
      </c>
      <c r="O121" s="50">
        <v>3</v>
      </c>
      <c r="P121" s="50">
        <v>3</v>
      </c>
      <c r="Q121" s="50">
        <v>3</v>
      </c>
      <c r="R121" s="50">
        <v>3</v>
      </c>
      <c r="S121" s="50">
        <v>1</v>
      </c>
      <c r="T121" s="50">
        <v>1</v>
      </c>
      <c r="U121" s="50">
        <v>1</v>
      </c>
      <c r="V121" s="50">
        <v>1</v>
      </c>
      <c r="W121" s="51">
        <v>1</v>
      </c>
      <c r="X121" s="51">
        <v>1</v>
      </c>
      <c r="Y121" s="50">
        <v>3</v>
      </c>
      <c r="Z121" s="50">
        <v>3</v>
      </c>
    </row>
    <row r="122" spans="1:26" ht="15" customHeight="1">
      <c r="A122" s="60"/>
      <c r="B122" s="48"/>
      <c r="C122" s="48"/>
      <c r="D122" s="48" t="s">
        <v>646</v>
      </c>
      <c r="E122" s="49"/>
      <c r="F122" s="49">
        <v>1</v>
      </c>
      <c r="G122" s="49">
        <v>2</v>
      </c>
      <c r="H122" s="49">
        <v>3</v>
      </c>
      <c r="I122" s="49">
        <v>3</v>
      </c>
      <c r="J122" s="49"/>
      <c r="K122" s="49"/>
      <c r="L122" s="49"/>
      <c r="M122" s="49">
        <v>1</v>
      </c>
      <c r="N122" s="49">
        <v>1</v>
      </c>
      <c r="O122" s="50">
        <v>3</v>
      </c>
      <c r="P122" s="50">
        <v>3</v>
      </c>
      <c r="Q122" s="50">
        <v>3</v>
      </c>
      <c r="R122" s="50">
        <v>3</v>
      </c>
      <c r="S122" s="50">
        <v>1</v>
      </c>
      <c r="T122" s="50">
        <v>1</v>
      </c>
      <c r="U122" s="50">
        <v>1</v>
      </c>
      <c r="V122" s="50">
        <v>1</v>
      </c>
      <c r="W122" s="51">
        <v>1</v>
      </c>
      <c r="X122" s="51">
        <v>1</v>
      </c>
      <c r="Y122" s="50">
        <v>3</v>
      </c>
      <c r="Z122" s="50">
        <v>3</v>
      </c>
    </row>
    <row r="123" spans="1:26" ht="15" customHeight="1">
      <c r="A123" s="60"/>
      <c r="B123" s="48"/>
      <c r="C123" s="48"/>
      <c r="D123" s="48" t="s">
        <v>647</v>
      </c>
      <c r="E123" s="49"/>
      <c r="F123" s="49">
        <v>1</v>
      </c>
      <c r="G123" s="49">
        <v>2</v>
      </c>
      <c r="H123" s="49">
        <v>3</v>
      </c>
      <c r="I123" s="49">
        <v>3</v>
      </c>
      <c r="J123" s="49"/>
      <c r="K123" s="49"/>
      <c r="L123" s="49"/>
      <c r="M123" s="49">
        <v>1</v>
      </c>
      <c r="N123" s="49">
        <v>1</v>
      </c>
      <c r="O123" s="50">
        <v>3</v>
      </c>
      <c r="P123" s="50">
        <v>3</v>
      </c>
      <c r="Q123" s="50">
        <v>3</v>
      </c>
      <c r="R123" s="50">
        <v>3</v>
      </c>
      <c r="S123" s="50">
        <v>1</v>
      </c>
      <c r="T123" s="50">
        <v>1</v>
      </c>
      <c r="U123" s="50">
        <v>1</v>
      </c>
      <c r="V123" s="50">
        <v>1</v>
      </c>
      <c r="W123" s="51">
        <v>1</v>
      </c>
      <c r="X123" s="51">
        <v>1</v>
      </c>
      <c r="Y123" s="50">
        <v>3</v>
      </c>
      <c r="Z123" s="50">
        <v>3</v>
      </c>
    </row>
    <row r="124" spans="1:26">
      <c r="A124" s="60"/>
      <c r="B124" s="48"/>
      <c r="C124" s="48"/>
      <c r="D124" s="48" t="s">
        <v>648</v>
      </c>
      <c r="E124" s="49"/>
      <c r="F124" s="49">
        <v>1</v>
      </c>
      <c r="G124" s="49">
        <v>2</v>
      </c>
      <c r="H124" s="49">
        <v>3</v>
      </c>
      <c r="I124" s="49">
        <v>3</v>
      </c>
      <c r="J124" s="49"/>
      <c r="K124" s="49"/>
      <c r="L124" s="49"/>
      <c r="M124" s="49">
        <v>1</v>
      </c>
      <c r="N124" s="49">
        <v>1</v>
      </c>
      <c r="O124" s="50">
        <v>3</v>
      </c>
      <c r="P124" s="50">
        <v>3</v>
      </c>
      <c r="Q124" s="50">
        <v>3</v>
      </c>
      <c r="R124" s="50">
        <v>3</v>
      </c>
      <c r="S124" s="50">
        <v>1</v>
      </c>
      <c r="T124" s="50">
        <v>1</v>
      </c>
      <c r="U124" s="50">
        <v>1</v>
      </c>
      <c r="V124" s="50">
        <v>1</v>
      </c>
      <c r="W124" s="50">
        <v>1</v>
      </c>
      <c r="X124" s="50">
        <v>1</v>
      </c>
      <c r="Y124" s="50">
        <v>3</v>
      </c>
      <c r="Z124" s="50">
        <v>3</v>
      </c>
    </row>
    <row r="125" spans="1:26" ht="15" customHeight="1">
      <c r="A125" s="60"/>
      <c r="B125" s="48"/>
      <c r="C125" s="48"/>
      <c r="D125" s="48" t="s">
        <v>649</v>
      </c>
      <c r="E125" s="49">
        <v>1</v>
      </c>
      <c r="F125" s="49">
        <v>1</v>
      </c>
      <c r="G125" s="49">
        <v>2</v>
      </c>
      <c r="H125" s="49">
        <v>3</v>
      </c>
      <c r="I125" s="49">
        <v>3</v>
      </c>
      <c r="J125" s="49">
        <v>1</v>
      </c>
      <c r="K125" s="49">
        <v>1</v>
      </c>
      <c r="L125" s="49">
        <v>2</v>
      </c>
      <c r="M125" s="49">
        <v>3</v>
      </c>
      <c r="N125" s="49">
        <v>3</v>
      </c>
      <c r="O125" s="50">
        <v>3</v>
      </c>
      <c r="P125" s="50">
        <v>3</v>
      </c>
      <c r="Q125" s="50">
        <v>3</v>
      </c>
      <c r="R125" s="50">
        <v>3</v>
      </c>
      <c r="S125" s="50">
        <v>1</v>
      </c>
      <c r="T125" s="50">
        <v>1</v>
      </c>
      <c r="U125" s="50">
        <v>1</v>
      </c>
      <c r="V125" s="50">
        <v>1</v>
      </c>
      <c r="W125" s="51">
        <v>1</v>
      </c>
      <c r="X125" s="51">
        <v>1</v>
      </c>
      <c r="Y125" s="50">
        <v>3</v>
      </c>
      <c r="Z125" s="50">
        <v>3</v>
      </c>
    </row>
    <row r="126" spans="1:26" ht="15" customHeight="1">
      <c r="A126" s="60"/>
      <c r="B126" s="48" t="s">
        <v>198</v>
      </c>
      <c r="C126" s="48"/>
      <c r="D126" s="48"/>
      <c r="E126" s="49"/>
      <c r="F126" s="49"/>
      <c r="G126" s="49"/>
      <c r="H126" s="49"/>
      <c r="I126" s="49"/>
      <c r="J126" s="49"/>
      <c r="K126" s="49"/>
      <c r="L126" s="49"/>
      <c r="M126" s="49"/>
      <c r="N126" s="49"/>
      <c r="O126" s="50"/>
      <c r="P126" s="50"/>
      <c r="Q126" s="50"/>
      <c r="R126" s="50"/>
      <c r="S126" s="50"/>
      <c r="T126" s="50"/>
      <c r="U126" s="50"/>
      <c r="V126" s="50"/>
      <c r="W126" s="51"/>
      <c r="X126" s="51"/>
      <c r="Y126" s="50"/>
      <c r="Z126" s="50"/>
    </row>
    <row r="127" spans="1:26" ht="15" customHeight="1">
      <c r="A127" s="60"/>
      <c r="B127" s="48"/>
      <c r="C127" s="48" t="s">
        <v>198</v>
      </c>
      <c r="D127" s="48" t="s">
        <v>650</v>
      </c>
      <c r="E127" s="49">
        <v>1</v>
      </c>
      <c r="F127" s="49">
        <v>2</v>
      </c>
      <c r="G127" s="49">
        <v>2</v>
      </c>
      <c r="H127" s="49">
        <v>3</v>
      </c>
      <c r="I127" s="49">
        <v>3</v>
      </c>
      <c r="J127" s="49">
        <v>1</v>
      </c>
      <c r="K127" s="49">
        <v>2</v>
      </c>
      <c r="L127" s="49">
        <v>2</v>
      </c>
      <c r="M127" s="49">
        <v>3</v>
      </c>
      <c r="N127" s="49">
        <v>3</v>
      </c>
      <c r="O127" s="50">
        <v>3</v>
      </c>
      <c r="P127" s="50">
        <v>3</v>
      </c>
      <c r="Q127" s="50">
        <v>3</v>
      </c>
      <c r="R127" s="50">
        <v>3</v>
      </c>
      <c r="S127" s="50">
        <v>2</v>
      </c>
      <c r="T127" s="50">
        <v>2</v>
      </c>
      <c r="U127" s="50">
        <v>2</v>
      </c>
      <c r="V127" s="50">
        <v>2</v>
      </c>
      <c r="W127" s="51">
        <v>2</v>
      </c>
      <c r="X127" s="51">
        <v>2</v>
      </c>
      <c r="Y127" s="50">
        <v>3</v>
      </c>
      <c r="Z127" s="50">
        <v>3</v>
      </c>
    </row>
    <row r="128" spans="1:26" ht="15" customHeight="1">
      <c r="A128" s="60"/>
      <c r="B128" s="48"/>
      <c r="C128" s="48"/>
      <c r="D128" s="48" t="s">
        <v>651</v>
      </c>
      <c r="E128" s="49">
        <v>1</v>
      </c>
      <c r="F128" s="49">
        <v>2</v>
      </c>
      <c r="G128" s="49">
        <v>2</v>
      </c>
      <c r="H128" s="49">
        <v>3</v>
      </c>
      <c r="I128" s="49">
        <v>3</v>
      </c>
      <c r="J128" s="49">
        <v>1</v>
      </c>
      <c r="K128" s="49">
        <v>2</v>
      </c>
      <c r="L128" s="49">
        <v>2</v>
      </c>
      <c r="M128" s="49">
        <v>3</v>
      </c>
      <c r="N128" s="49">
        <v>3</v>
      </c>
      <c r="O128" s="50">
        <v>3</v>
      </c>
      <c r="P128" s="50">
        <v>3</v>
      </c>
      <c r="Q128" s="50">
        <v>3</v>
      </c>
      <c r="R128" s="50">
        <v>3</v>
      </c>
      <c r="S128" s="50">
        <v>1</v>
      </c>
      <c r="T128" s="50">
        <v>1</v>
      </c>
      <c r="U128" s="50">
        <v>1</v>
      </c>
      <c r="V128" s="50">
        <v>1</v>
      </c>
      <c r="W128" s="51">
        <v>2</v>
      </c>
      <c r="X128" s="51">
        <v>2</v>
      </c>
      <c r="Y128" s="50">
        <v>3</v>
      </c>
      <c r="Z128" s="50">
        <v>3</v>
      </c>
    </row>
    <row r="129" spans="1:26" ht="15" customHeight="1">
      <c r="A129" s="60"/>
      <c r="B129" s="48"/>
      <c r="C129" s="48"/>
      <c r="D129" s="48" t="s">
        <v>652</v>
      </c>
      <c r="E129" s="49">
        <v>1</v>
      </c>
      <c r="F129" s="49">
        <v>2</v>
      </c>
      <c r="G129" s="49">
        <v>2</v>
      </c>
      <c r="H129" s="49">
        <v>3</v>
      </c>
      <c r="I129" s="49">
        <v>3</v>
      </c>
      <c r="J129" s="49"/>
      <c r="K129" s="49"/>
      <c r="L129" s="49"/>
      <c r="M129" s="49">
        <v>1</v>
      </c>
      <c r="N129" s="49">
        <v>1</v>
      </c>
      <c r="O129" s="50">
        <v>3</v>
      </c>
      <c r="P129" s="50">
        <v>3</v>
      </c>
      <c r="Q129" s="50">
        <v>3</v>
      </c>
      <c r="R129" s="50">
        <v>3</v>
      </c>
      <c r="S129" s="50">
        <v>1</v>
      </c>
      <c r="T129" s="50">
        <v>1</v>
      </c>
      <c r="U129" s="50">
        <v>1</v>
      </c>
      <c r="V129" s="50">
        <v>1</v>
      </c>
      <c r="W129" s="51">
        <v>2</v>
      </c>
      <c r="X129" s="51">
        <v>2</v>
      </c>
      <c r="Y129" s="50">
        <v>3</v>
      </c>
      <c r="Z129" s="50">
        <v>3</v>
      </c>
    </row>
    <row r="130" spans="1:26" ht="15" customHeight="1">
      <c r="A130" s="60"/>
      <c r="B130" s="48"/>
      <c r="C130" s="48"/>
      <c r="D130" s="48" t="s">
        <v>653</v>
      </c>
      <c r="E130" s="49">
        <v>1</v>
      </c>
      <c r="F130" s="49">
        <v>2</v>
      </c>
      <c r="G130" s="49">
        <v>2</v>
      </c>
      <c r="H130" s="49">
        <v>3</v>
      </c>
      <c r="I130" s="49">
        <v>3</v>
      </c>
      <c r="J130" s="49"/>
      <c r="K130" s="49"/>
      <c r="L130" s="49"/>
      <c r="M130" s="49">
        <v>1</v>
      </c>
      <c r="N130" s="49">
        <v>1</v>
      </c>
      <c r="O130" s="50">
        <v>3</v>
      </c>
      <c r="P130" s="50">
        <v>3</v>
      </c>
      <c r="Q130" s="50">
        <v>3</v>
      </c>
      <c r="R130" s="50">
        <v>3</v>
      </c>
      <c r="S130" s="50">
        <v>1</v>
      </c>
      <c r="T130" s="50">
        <v>1</v>
      </c>
      <c r="U130" s="50">
        <v>1</v>
      </c>
      <c r="V130" s="50">
        <v>1</v>
      </c>
      <c r="W130" s="51">
        <v>2</v>
      </c>
      <c r="X130" s="51">
        <v>2</v>
      </c>
      <c r="Y130" s="50">
        <v>3</v>
      </c>
      <c r="Z130" s="50">
        <v>3</v>
      </c>
    </row>
    <row r="131" spans="1:26" ht="15" customHeight="1">
      <c r="A131" s="60"/>
      <c r="B131" s="48"/>
      <c r="C131" s="48"/>
      <c r="D131" s="48" t="s">
        <v>654</v>
      </c>
      <c r="E131" s="49">
        <v>1</v>
      </c>
      <c r="F131" s="49">
        <v>2</v>
      </c>
      <c r="G131" s="49">
        <v>2</v>
      </c>
      <c r="H131" s="49">
        <v>3</v>
      </c>
      <c r="I131" s="49">
        <v>3</v>
      </c>
      <c r="J131" s="49"/>
      <c r="K131" s="49"/>
      <c r="L131" s="49"/>
      <c r="M131" s="49">
        <v>1</v>
      </c>
      <c r="N131" s="49">
        <v>1</v>
      </c>
      <c r="O131" s="50">
        <v>3</v>
      </c>
      <c r="P131" s="50">
        <v>3</v>
      </c>
      <c r="Q131" s="50">
        <v>3</v>
      </c>
      <c r="R131" s="50">
        <v>3</v>
      </c>
      <c r="S131" s="50">
        <v>1</v>
      </c>
      <c r="T131" s="50">
        <v>1</v>
      </c>
      <c r="U131" s="50">
        <v>1</v>
      </c>
      <c r="V131" s="50">
        <v>1</v>
      </c>
      <c r="W131" s="51">
        <v>2</v>
      </c>
      <c r="X131" s="51">
        <v>2</v>
      </c>
      <c r="Y131" s="50">
        <v>3</v>
      </c>
      <c r="Z131" s="50">
        <v>3</v>
      </c>
    </row>
    <row r="132" spans="1:26" ht="15" customHeight="1">
      <c r="A132" s="60"/>
      <c r="B132" s="48"/>
      <c r="C132" s="48"/>
      <c r="D132" s="48" t="s">
        <v>655</v>
      </c>
      <c r="E132" s="49">
        <v>1</v>
      </c>
      <c r="F132" s="49">
        <v>2</v>
      </c>
      <c r="G132" s="49">
        <v>2</v>
      </c>
      <c r="H132" s="49">
        <v>3</v>
      </c>
      <c r="I132" s="49">
        <v>3</v>
      </c>
      <c r="J132" s="49"/>
      <c r="K132" s="49"/>
      <c r="L132" s="49"/>
      <c r="M132" s="49">
        <v>1</v>
      </c>
      <c r="N132" s="49">
        <v>1</v>
      </c>
      <c r="O132" s="50">
        <v>3</v>
      </c>
      <c r="P132" s="50">
        <v>3</v>
      </c>
      <c r="Q132" s="50">
        <v>3</v>
      </c>
      <c r="R132" s="50">
        <v>3</v>
      </c>
      <c r="S132" s="50">
        <v>1</v>
      </c>
      <c r="T132" s="50">
        <v>1</v>
      </c>
      <c r="U132" s="50">
        <v>1</v>
      </c>
      <c r="V132" s="50">
        <v>1</v>
      </c>
      <c r="W132" s="51">
        <v>2</v>
      </c>
      <c r="X132" s="51">
        <v>2</v>
      </c>
      <c r="Y132" s="50">
        <v>3</v>
      </c>
      <c r="Z132" s="50">
        <v>3</v>
      </c>
    </row>
    <row r="133" spans="1:26" ht="15" customHeight="1">
      <c r="A133" s="60"/>
      <c r="B133" s="48"/>
      <c r="C133" s="48"/>
      <c r="D133" s="48" t="s">
        <v>656</v>
      </c>
      <c r="E133" s="49">
        <v>1</v>
      </c>
      <c r="F133" s="49">
        <v>2</v>
      </c>
      <c r="G133" s="49">
        <v>2</v>
      </c>
      <c r="H133" s="49">
        <v>3</v>
      </c>
      <c r="I133" s="49">
        <v>3</v>
      </c>
      <c r="J133" s="49"/>
      <c r="K133" s="49"/>
      <c r="L133" s="49"/>
      <c r="M133" s="49">
        <v>1</v>
      </c>
      <c r="N133" s="49">
        <v>1</v>
      </c>
      <c r="O133" s="50">
        <v>3</v>
      </c>
      <c r="P133" s="50">
        <v>3</v>
      </c>
      <c r="Q133" s="50">
        <v>3</v>
      </c>
      <c r="R133" s="50">
        <v>3</v>
      </c>
      <c r="S133" s="50">
        <v>1</v>
      </c>
      <c r="T133" s="50">
        <v>1</v>
      </c>
      <c r="U133" s="50">
        <v>1</v>
      </c>
      <c r="V133" s="50">
        <v>1</v>
      </c>
      <c r="W133" s="51">
        <v>2</v>
      </c>
      <c r="X133" s="51">
        <v>2</v>
      </c>
      <c r="Y133" s="50">
        <v>3</v>
      </c>
      <c r="Z133" s="50">
        <v>3</v>
      </c>
    </row>
    <row r="134" spans="1:26">
      <c r="A134" s="60"/>
      <c r="B134" s="48"/>
      <c r="C134" s="48"/>
      <c r="D134" s="48" t="s">
        <v>657</v>
      </c>
      <c r="E134" s="49">
        <v>1</v>
      </c>
      <c r="F134" s="49">
        <v>2</v>
      </c>
      <c r="G134" s="49">
        <v>2</v>
      </c>
      <c r="H134" s="49">
        <v>3</v>
      </c>
      <c r="I134" s="49">
        <v>3</v>
      </c>
      <c r="J134" s="49"/>
      <c r="K134" s="49"/>
      <c r="L134" s="49"/>
      <c r="M134" s="49">
        <v>1</v>
      </c>
      <c r="N134" s="49">
        <v>1</v>
      </c>
      <c r="O134" s="50">
        <v>3</v>
      </c>
      <c r="P134" s="50">
        <v>3</v>
      </c>
      <c r="Q134" s="50">
        <v>3</v>
      </c>
      <c r="R134" s="50">
        <v>3</v>
      </c>
      <c r="S134" s="50">
        <v>1</v>
      </c>
      <c r="T134" s="50">
        <v>1</v>
      </c>
      <c r="U134" s="50">
        <v>1</v>
      </c>
      <c r="V134" s="50">
        <v>1</v>
      </c>
      <c r="W134" s="51">
        <v>2</v>
      </c>
      <c r="X134" s="51">
        <v>2</v>
      </c>
      <c r="Y134" s="50">
        <v>3</v>
      </c>
      <c r="Z134" s="50">
        <v>3</v>
      </c>
    </row>
    <row r="135" spans="1:26" ht="15" customHeight="1">
      <c r="A135" s="60"/>
      <c r="B135" s="48"/>
      <c r="C135" s="48"/>
      <c r="D135" s="48" t="s">
        <v>658</v>
      </c>
      <c r="E135" s="49">
        <v>1</v>
      </c>
      <c r="F135" s="49">
        <v>2</v>
      </c>
      <c r="G135" s="49">
        <v>2</v>
      </c>
      <c r="H135" s="49">
        <v>3</v>
      </c>
      <c r="I135" s="49">
        <v>3</v>
      </c>
      <c r="J135" s="49">
        <v>1</v>
      </c>
      <c r="K135" s="49">
        <v>2</v>
      </c>
      <c r="L135" s="49">
        <v>2</v>
      </c>
      <c r="M135" s="49">
        <v>3</v>
      </c>
      <c r="N135" s="49">
        <v>3</v>
      </c>
      <c r="O135" s="50">
        <v>3</v>
      </c>
      <c r="P135" s="50">
        <v>3</v>
      </c>
      <c r="Q135" s="50">
        <v>3</v>
      </c>
      <c r="R135" s="50">
        <v>3</v>
      </c>
      <c r="S135" s="50">
        <v>1</v>
      </c>
      <c r="T135" s="50">
        <v>1</v>
      </c>
      <c r="U135" s="50">
        <v>1</v>
      </c>
      <c r="V135" s="50">
        <v>1</v>
      </c>
      <c r="W135" s="51">
        <v>2</v>
      </c>
      <c r="X135" s="51">
        <v>2</v>
      </c>
      <c r="Y135" s="50">
        <v>3</v>
      </c>
      <c r="Z135" s="50">
        <v>3</v>
      </c>
    </row>
    <row r="136" spans="1:26" ht="15" customHeight="1">
      <c r="A136" s="60"/>
      <c r="B136" s="48" t="s">
        <v>205</v>
      </c>
      <c r="C136" s="48"/>
      <c r="D136" s="48"/>
      <c r="E136" s="49"/>
      <c r="F136" s="49"/>
      <c r="G136" s="49"/>
      <c r="H136" s="49"/>
      <c r="I136" s="49"/>
      <c r="J136" s="49"/>
      <c r="K136" s="49"/>
      <c r="L136" s="49"/>
      <c r="M136" s="49"/>
      <c r="N136" s="49"/>
      <c r="O136" s="50"/>
      <c r="P136" s="50"/>
      <c r="Q136" s="50"/>
      <c r="R136" s="50"/>
      <c r="S136" s="50"/>
      <c r="T136" s="50"/>
      <c r="U136" s="50"/>
      <c r="V136" s="50"/>
      <c r="W136" s="51"/>
      <c r="X136" s="51"/>
      <c r="Y136" s="50"/>
      <c r="Z136" s="50"/>
    </row>
    <row r="137" spans="1:26" ht="15" customHeight="1">
      <c r="A137" s="60"/>
      <c r="B137" s="48"/>
      <c r="C137" s="48" t="s">
        <v>205</v>
      </c>
      <c r="D137" s="48" t="s">
        <v>659</v>
      </c>
      <c r="E137" s="49">
        <v>1</v>
      </c>
      <c r="F137" s="49">
        <v>2</v>
      </c>
      <c r="G137" s="49">
        <v>2</v>
      </c>
      <c r="H137" s="49">
        <v>3</v>
      </c>
      <c r="I137" s="49">
        <v>3</v>
      </c>
      <c r="J137" s="49">
        <v>1</v>
      </c>
      <c r="K137" s="49">
        <v>2</v>
      </c>
      <c r="L137" s="49">
        <v>2</v>
      </c>
      <c r="M137" s="49">
        <v>3</v>
      </c>
      <c r="N137" s="49">
        <v>3</v>
      </c>
      <c r="O137" s="50">
        <v>3</v>
      </c>
      <c r="P137" s="50">
        <v>3</v>
      </c>
      <c r="Q137" s="50">
        <v>3</v>
      </c>
      <c r="R137" s="50">
        <v>3</v>
      </c>
      <c r="S137" s="50">
        <v>2</v>
      </c>
      <c r="T137" s="50">
        <v>2</v>
      </c>
      <c r="U137" s="50">
        <v>2</v>
      </c>
      <c r="V137" s="50">
        <v>2</v>
      </c>
      <c r="W137" s="51">
        <v>2</v>
      </c>
      <c r="X137" s="51">
        <v>2</v>
      </c>
      <c r="Y137" s="50">
        <v>3</v>
      </c>
      <c r="Z137" s="50">
        <v>3</v>
      </c>
    </row>
    <row r="138" spans="1:26" ht="15" customHeight="1">
      <c r="A138" s="60"/>
      <c r="B138" s="48"/>
      <c r="C138" s="48"/>
      <c r="D138" s="48" t="s">
        <v>660</v>
      </c>
      <c r="E138" s="49">
        <v>1</v>
      </c>
      <c r="F138" s="49">
        <v>1</v>
      </c>
      <c r="G138" s="49">
        <v>2</v>
      </c>
      <c r="H138" s="49">
        <v>3</v>
      </c>
      <c r="I138" s="49">
        <v>3</v>
      </c>
      <c r="J138" s="49"/>
      <c r="K138" s="49"/>
      <c r="L138" s="49"/>
      <c r="M138" s="49">
        <v>1</v>
      </c>
      <c r="N138" s="49">
        <v>1</v>
      </c>
      <c r="O138" s="50">
        <v>3</v>
      </c>
      <c r="P138" s="50">
        <v>3</v>
      </c>
      <c r="Q138" s="50">
        <v>3</v>
      </c>
      <c r="R138" s="50">
        <v>3</v>
      </c>
      <c r="S138" s="50">
        <v>1</v>
      </c>
      <c r="T138" s="50">
        <v>1</v>
      </c>
      <c r="U138" s="50">
        <v>1</v>
      </c>
      <c r="V138" s="50">
        <v>1</v>
      </c>
      <c r="W138" s="51">
        <v>1</v>
      </c>
      <c r="X138" s="51">
        <v>1</v>
      </c>
      <c r="Y138" s="50">
        <v>3</v>
      </c>
      <c r="Z138" s="50">
        <v>3</v>
      </c>
    </row>
    <row r="139" spans="1:26" ht="15" customHeight="1">
      <c r="A139" s="60"/>
      <c r="B139" s="48"/>
      <c r="C139" s="48"/>
      <c r="D139" s="48" t="s">
        <v>661</v>
      </c>
      <c r="E139" s="49">
        <v>1</v>
      </c>
      <c r="F139" s="49">
        <v>1</v>
      </c>
      <c r="G139" s="49">
        <v>2</v>
      </c>
      <c r="H139" s="49">
        <v>3</v>
      </c>
      <c r="I139" s="49">
        <v>3</v>
      </c>
      <c r="J139" s="49"/>
      <c r="K139" s="49"/>
      <c r="L139" s="49"/>
      <c r="M139" s="49">
        <v>1</v>
      </c>
      <c r="N139" s="49">
        <v>1</v>
      </c>
      <c r="O139" s="50">
        <v>3</v>
      </c>
      <c r="P139" s="50">
        <v>3</v>
      </c>
      <c r="Q139" s="50">
        <v>3</v>
      </c>
      <c r="R139" s="50">
        <v>3</v>
      </c>
      <c r="S139" s="50">
        <v>1</v>
      </c>
      <c r="T139" s="50">
        <v>1</v>
      </c>
      <c r="U139" s="50">
        <v>1</v>
      </c>
      <c r="V139" s="50">
        <v>1</v>
      </c>
      <c r="W139" s="51">
        <v>1</v>
      </c>
      <c r="X139" s="51">
        <v>1</v>
      </c>
      <c r="Y139" s="50">
        <v>3</v>
      </c>
      <c r="Z139" s="50">
        <v>3</v>
      </c>
    </row>
    <row r="140" spans="1:26" ht="15" customHeight="1">
      <c r="A140" s="60"/>
      <c r="B140" s="48"/>
      <c r="C140" s="48"/>
      <c r="D140" s="48" t="s">
        <v>662</v>
      </c>
      <c r="E140" s="49">
        <v>1</v>
      </c>
      <c r="F140" s="49">
        <v>1</v>
      </c>
      <c r="G140" s="49">
        <v>2</v>
      </c>
      <c r="H140" s="49">
        <v>3</v>
      </c>
      <c r="I140" s="49">
        <v>3</v>
      </c>
      <c r="J140" s="49"/>
      <c r="K140" s="49"/>
      <c r="L140" s="49"/>
      <c r="M140" s="49">
        <v>1</v>
      </c>
      <c r="N140" s="49">
        <v>1</v>
      </c>
      <c r="O140" s="50">
        <v>3</v>
      </c>
      <c r="P140" s="50">
        <v>3</v>
      </c>
      <c r="Q140" s="50">
        <v>3</v>
      </c>
      <c r="R140" s="50">
        <v>3</v>
      </c>
      <c r="S140" s="50">
        <v>1</v>
      </c>
      <c r="T140" s="50">
        <v>1</v>
      </c>
      <c r="U140" s="50">
        <v>1</v>
      </c>
      <c r="V140" s="50">
        <v>1</v>
      </c>
      <c r="W140" s="51">
        <v>1</v>
      </c>
      <c r="X140" s="51">
        <v>1</v>
      </c>
      <c r="Y140" s="50">
        <v>3</v>
      </c>
      <c r="Z140" s="50">
        <v>3</v>
      </c>
    </row>
    <row r="141" spans="1:26" ht="15" customHeight="1">
      <c r="A141" s="60"/>
      <c r="B141" s="48"/>
      <c r="C141" s="48"/>
      <c r="D141" s="48" t="s">
        <v>663</v>
      </c>
      <c r="E141" s="49">
        <v>1</v>
      </c>
      <c r="F141" s="49">
        <v>1</v>
      </c>
      <c r="G141" s="49">
        <v>2</v>
      </c>
      <c r="H141" s="49">
        <v>3</v>
      </c>
      <c r="I141" s="49">
        <v>3</v>
      </c>
      <c r="J141" s="49"/>
      <c r="K141" s="49"/>
      <c r="L141" s="49"/>
      <c r="M141" s="49">
        <v>1</v>
      </c>
      <c r="N141" s="49">
        <v>1</v>
      </c>
      <c r="O141" s="50">
        <v>3</v>
      </c>
      <c r="P141" s="50">
        <v>3</v>
      </c>
      <c r="Q141" s="50">
        <v>3</v>
      </c>
      <c r="R141" s="50">
        <v>3</v>
      </c>
      <c r="S141" s="50">
        <v>1</v>
      </c>
      <c r="T141" s="50">
        <v>1</v>
      </c>
      <c r="U141" s="50">
        <v>1</v>
      </c>
      <c r="V141" s="50">
        <v>1</v>
      </c>
      <c r="W141" s="51">
        <v>1</v>
      </c>
      <c r="X141" s="51">
        <v>1</v>
      </c>
      <c r="Y141" s="50">
        <v>3</v>
      </c>
      <c r="Z141" s="50">
        <v>3</v>
      </c>
    </row>
    <row r="142" spans="1:26" ht="15" customHeight="1">
      <c r="A142" s="60"/>
      <c r="B142" s="48"/>
      <c r="C142" s="48"/>
      <c r="D142" s="48" t="s">
        <v>664</v>
      </c>
      <c r="E142" s="49">
        <v>1</v>
      </c>
      <c r="F142" s="49">
        <v>1</v>
      </c>
      <c r="G142" s="49">
        <v>2</v>
      </c>
      <c r="H142" s="49">
        <v>3</v>
      </c>
      <c r="I142" s="49">
        <v>3</v>
      </c>
      <c r="J142" s="49"/>
      <c r="K142" s="49"/>
      <c r="L142" s="49"/>
      <c r="M142" s="49">
        <v>1</v>
      </c>
      <c r="N142" s="49">
        <v>1</v>
      </c>
      <c r="O142" s="50">
        <v>3</v>
      </c>
      <c r="P142" s="50">
        <v>3</v>
      </c>
      <c r="Q142" s="50">
        <v>3</v>
      </c>
      <c r="R142" s="50">
        <v>3</v>
      </c>
      <c r="S142" s="50">
        <v>1</v>
      </c>
      <c r="T142" s="50">
        <v>1</v>
      </c>
      <c r="U142" s="50">
        <v>1</v>
      </c>
      <c r="V142" s="50">
        <v>1</v>
      </c>
      <c r="W142" s="51">
        <v>1</v>
      </c>
      <c r="X142" s="51">
        <v>1</v>
      </c>
      <c r="Y142" s="50">
        <v>3</v>
      </c>
      <c r="Z142" s="50">
        <v>3</v>
      </c>
    </row>
    <row r="143" spans="1:26">
      <c r="A143" s="60"/>
      <c r="B143" s="48"/>
      <c r="C143" s="48"/>
      <c r="D143" s="48" t="s">
        <v>665</v>
      </c>
      <c r="E143" s="49">
        <v>1</v>
      </c>
      <c r="F143" s="49">
        <v>1</v>
      </c>
      <c r="G143" s="49">
        <v>2</v>
      </c>
      <c r="H143" s="49">
        <v>3</v>
      </c>
      <c r="I143" s="49">
        <v>3</v>
      </c>
      <c r="J143" s="49"/>
      <c r="K143" s="49"/>
      <c r="L143" s="49"/>
      <c r="M143" s="49">
        <v>1</v>
      </c>
      <c r="N143" s="49">
        <v>1</v>
      </c>
      <c r="O143" s="50">
        <v>3</v>
      </c>
      <c r="P143" s="50">
        <v>3</v>
      </c>
      <c r="Q143" s="50">
        <v>3</v>
      </c>
      <c r="R143" s="50">
        <v>3</v>
      </c>
      <c r="S143" s="50">
        <v>1</v>
      </c>
      <c r="T143" s="50">
        <v>1</v>
      </c>
      <c r="U143" s="50">
        <v>1</v>
      </c>
      <c r="V143" s="50">
        <v>1</v>
      </c>
      <c r="W143" s="51">
        <v>1</v>
      </c>
      <c r="X143" s="51">
        <v>1</v>
      </c>
      <c r="Y143" s="50">
        <v>3</v>
      </c>
      <c r="Z143" s="50">
        <v>3</v>
      </c>
    </row>
    <row r="144" spans="1:26" ht="15" customHeight="1">
      <c r="A144" s="60"/>
      <c r="B144" s="48"/>
      <c r="C144" s="48"/>
      <c r="D144" s="48" t="s">
        <v>666</v>
      </c>
      <c r="E144" s="49">
        <v>1</v>
      </c>
      <c r="F144" s="49">
        <v>1</v>
      </c>
      <c r="G144" s="49">
        <v>2</v>
      </c>
      <c r="H144" s="49">
        <v>3</v>
      </c>
      <c r="I144" s="49">
        <v>3</v>
      </c>
      <c r="J144" s="49">
        <v>1</v>
      </c>
      <c r="K144" s="49">
        <v>1</v>
      </c>
      <c r="L144" s="49">
        <v>2</v>
      </c>
      <c r="M144" s="49">
        <v>3</v>
      </c>
      <c r="N144" s="49">
        <v>3</v>
      </c>
      <c r="O144" s="50">
        <v>3</v>
      </c>
      <c r="P144" s="50">
        <v>3</v>
      </c>
      <c r="Q144" s="50">
        <v>3</v>
      </c>
      <c r="R144" s="50">
        <v>3</v>
      </c>
      <c r="S144" s="50">
        <v>1</v>
      </c>
      <c r="T144" s="50">
        <v>1</v>
      </c>
      <c r="U144" s="50">
        <v>1</v>
      </c>
      <c r="V144" s="50">
        <v>1</v>
      </c>
      <c r="W144" s="51">
        <v>1</v>
      </c>
      <c r="X144" s="51">
        <v>1</v>
      </c>
      <c r="Y144" s="50">
        <v>3</v>
      </c>
      <c r="Z144" s="50">
        <v>3</v>
      </c>
    </row>
    <row r="145" spans="1:26" ht="15" customHeight="1">
      <c r="A145" s="60"/>
      <c r="B145" s="48" t="s">
        <v>667</v>
      </c>
      <c r="C145" s="48"/>
      <c r="D145" s="48"/>
      <c r="E145" s="49"/>
      <c r="F145" s="49"/>
      <c r="G145" s="49"/>
      <c r="H145" s="49"/>
      <c r="I145" s="49"/>
      <c r="J145" s="49"/>
      <c r="K145" s="49"/>
      <c r="L145" s="49"/>
      <c r="M145" s="49"/>
      <c r="N145" s="49"/>
      <c r="O145" s="50"/>
      <c r="P145" s="50"/>
      <c r="Q145" s="50"/>
      <c r="R145" s="50"/>
      <c r="S145" s="50"/>
      <c r="T145" s="50"/>
      <c r="U145" s="50"/>
      <c r="V145" s="50"/>
      <c r="W145" s="51"/>
      <c r="X145" s="51"/>
      <c r="Y145" s="50"/>
      <c r="Z145" s="50"/>
    </row>
    <row r="146" spans="1:26" ht="15" customHeight="1">
      <c r="A146" s="60"/>
      <c r="B146" s="48"/>
      <c r="C146" s="48" t="s">
        <v>667</v>
      </c>
      <c r="D146" s="48" t="s">
        <v>668</v>
      </c>
      <c r="E146" s="49">
        <v>1</v>
      </c>
      <c r="F146" s="49">
        <v>1</v>
      </c>
      <c r="G146" s="49">
        <v>2</v>
      </c>
      <c r="H146" s="49">
        <v>3</v>
      </c>
      <c r="I146" s="49">
        <v>3</v>
      </c>
      <c r="J146" s="49"/>
      <c r="K146" s="49"/>
      <c r="L146" s="49"/>
      <c r="M146" s="49">
        <v>1</v>
      </c>
      <c r="N146" s="49">
        <v>1</v>
      </c>
      <c r="O146" s="50">
        <v>3</v>
      </c>
      <c r="P146" s="50">
        <v>3</v>
      </c>
      <c r="Q146" s="50">
        <v>3</v>
      </c>
      <c r="R146" s="50">
        <v>3</v>
      </c>
      <c r="S146" s="50">
        <v>1</v>
      </c>
      <c r="T146" s="50">
        <v>1</v>
      </c>
      <c r="U146" s="50">
        <v>1</v>
      </c>
      <c r="V146" s="50">
        <v>1</v>
      </c>
      <c r="W146" s="51">
        <v>1</v>
      </c>
      <c r="X146" s="51">
        <v>1</v>
      </c>
      <c r="Y146" s="50">
        <v>3</v>
      </c>
      <c r="Z146" s="50">
        <v>3</v>
      </c>
    </row>
    <row r="147" spans="1:26" ht="15" customHeight="1">
      <c r="A147" s="60"/>
      <c r="B147" s="48"/>
      <c r="C147" s="48"/>
      <c r="D147" s="48" t="s">
        <v>669</v>
      </c>
      <c r="E147" s="49">
        <v>1</v>
      </c>
      <c r="F147" s="49">
        <v>1</v>
      </c>
      <c r="G147" s="49">
        <v>2</v>
      </c>
      <c r="H147" s="49">
        <v>3</v>
      </c>
      <c r="I147" s="49">
        <v>3</v>
      </c>
      <c r="J147" s="49"/>
      <c r="K147" s="49"/>
      <c r="L147" s="49"/>
      <c r="M147" s="49">
        <v>1</v>
      </c>
      <c r="N147" s="49">
        <v>1</v>
      </c>
      <c r="O147" s="50">
        <v>3</v>
      </c>
      <c r="P147" s="50">
        <v>3</v>
      </c>
      <c r="Q147" s="50">
        <v>3</v>
      </c>
      <c r="R147" s="50">
        <v>3</v>
      </c>
      <c r="S147" s="50">
        <v>1</v>
      </c>
      <c r="T147" s="50">
        <v>1</v>
      </c>
      <c r="U147" s="50">
        <v>1</v>
      </c>
      <c r="V147" s="50">
        <v>1</v>
      </c>
      <c r="W147" s="51">
        <v>1</v>
      </c>
      <c r="X147" s="51">
        <v>1</v>
      </c>
      <c r="Y147" s="50">
        <v>3</v>
      </c>
      <c r="Z147" s="50">
        <v>3</v>
      </c>
    </row>
    <row r="148" spans="1:26" ht="15" customHeight="1">
      <c r="A148" s="60"/>
      <c r="B148" s="48"/>
      <c r="C148" s="48"/>
      <c r="D148" s="48" t="s">
        <v>670</v>
      </c>
      <c r="E148" s="49">
        <v>1</v>
      </c>
      <c r="F148" s="49">
        <v>1</v>
      </c>
      <c r="G148" s="49">
        <v>2</v>
      </c>
      <c r="H148" s="49">
        <v>3</v>
      </c>
      <c r="I148" s="49">
        <v>3</v>
      </c>
      <c r="J148" s="49"/>
      <c r="K148" s="49"/>
      <c r="L148" s="49"/>
      <c r="M148" s="49">
        <v>1</v>
      </c>
      <c r="N148" s="49">
        <v>1</v>
      </c>
      <c r="O148" s="50">
        <v>3</v>
      </c>
      <c r="P148" s="50">
        <v>3</v>
      </c>
      <c r="Q148" s="50">
        <v>3</v>
      </c>
      <c r="R148" s="50">
        <v>3</v>
      </c>
      <c r="S148" s="50">
        <v>1</v>
      </c>
      <c r="T148" s="50">
        <v>1</v>
      </c>
      <c r="U148" s="50">
        <v>1</v>
      </c>
      <c r="V148" s="50">
        <v>1</v>
      </c>
      <c r="W148" s="51">
        <v>1</v>
      </c>
      <c r="X148" s="51">
        <v>1</v>
      </c>
      <c r="Y148" s="50">
        <v>3</v>
      </c>
      <c r="Z148" s="50">
        <v>3</v>
      </c>
    </row>
    <row r="149" spans="1:26" ht="15" customHeight="1">
      <c r="A149" s="60"/>
      <c r="B149" s="48"/>
      <c r="C149" s="48"/>
      <c r="D149" s="48" t="s">
        <v>671</v>
      </c>
      <c r="E149" s="49">
        <v>1</v>
      </c>
      <c r="F149" s="49">
        <v>1</v>
      </c>
      <c r="G149" s="49">
        <v>2</v>
      </c>
      <c r="H149" s="49">
        <v>3</v>
      </c>
      <c r="I149" s="49">
        <v>3</v>
      </c>
      <c r="J149" s="49"/>
      <c r="K149" s="49"/>
      <c r="L149" s="49"/>
      <c r="M149" s="49">
        <v>1</v>
      </c>
      <c r="N149" s="49">
        <v>1</v>
      </c>
      <c r="O149" s="50">
        <v>3</v>
      </c>
      <c r="P149" s="50">
        <v>3</v>
      </c>
      <c r="Q149" s="50">
        <v>3</v>
      </c>
      <c r="R149" s="50">
        <v>3</v>
      </c>
      <c r="S149" s="50">
        <v>1</v>
      </c>
      <c r="T149" s="50">
        <v>1</v>
      </c>
      <c r="U149" s="50">
        <v>1</v>
      </c>
      <c r="V149" s="50">
        <v>1</v>
      </c>
      <c r="W149" s="51">
        <v>1</v>
      </c>
      <c r="X149" s="51">
        <v>1</v>
      </c>
      <c r="Y149" s="50">
        <v>3</v>
      </c>
      <c r="Z149" s="50">
        <v>3</v>
      </c>
    </row>
    <row r="150" spans="1:26" ht="15" customHeight="1">
      <c r="A150" s="60"/>
      <c r="B150" s="48"/>
      <c r="C150" s="48"/>
      <c r="D150" s="48" t="s">
        <v>672</v>
      </c>
      <c r="E150" s="49">
        <v>1</v>
      </c>
      <c r="F150" s="49">
        <v>1</v>
      </c>
      <c r="G150" s="49">
        <v>2</v>
      </c>
      <c r="H150" s="49">
        <v>3</v>
      </c>
      <c r="I150" s="49">
        <v>3</v>
      </c>
      <c r="J150" s="49"/>
      <c r="K150" s="49"/>
      <c r="L150" s="49"/>
      <c r="M150" s="49">
        <v>1</v>
      </c>
      <c r="N150" s="49">
        <v>1</v>
      </c>
      <c r="O150" s="50">
        <v>3</v>
      </c>
      <c r="P150" s="50">
        <v>3</v>
      </c>
      <c r="Q150" s="50">
        <v>3</v>
      </c>
      <c r="R150" s="50">
        <v>3</v>
      </c>
      <c r="S150" s="50">
        <v>1</v>
      </c>
      <c r="T150" s="50">
        <v>1</v>
      </c>
      <c r="U150" s="50">
        <v>1</v>
      </c>
      <c r="V150" s="50">
        <v>1</v>
      </c>
      <c r="W150" s="51">
        <v>1</v>
      </c>
      <c r="X150" s="51">
        <v>1</v>
      </c>
      <c r="Y150" s="50">
        <v>3</v>
      </c>
      <c r="Z150" s="50">
        <v>3</v>
      </c>
    </row>
    <row r="151" spans="1:26" ht="15" customHeight="1">
      <c r="A151" s="60"/>
      <c r="B151" s="48"/>
      <c r="C151" s="48"/>
      <c r="D151" s="48" t="s">
        <v>673</v>
      </c>
      <c r="E151" s="49">
        <v>1</v>
      </c>
      <c r="F151" s="49">
        <v>1</v>
      </c>
      <c r="G151" s="49">
        <v>2</v>
      </c>
      <c r="H151" s="49">
        <v>3</v>
      </c>
      <c r="I151" s="49">
        <v>3</v>
      </c>
      <c r="J151" s="49"/>
      <c r="K151" s="49"/>
      <c r="L151" s="49"/>
      <c r="M151" s="49">
        <v>1</v>
      </c>
      <c r="N151" s="49">
        <v>1</v>
      </c>
      <c r="O151" s="50">
        <v>3</v>
      </c>
      <c r="P151" s="50">
        <v>3</v>
      </c>
      <c r="Q151" s="50">
        <v>3</v>
      </c>
      <c r="R151" s="50">
        <v>3</v>
      </c>
      <c r="S151" s="50">
        <v>1</v>
      </c>
      <c r="T151" s="50">
        <v>1</v>
      </c>
      <c r="U151" s="50">
        <v>1</v>
      </c>
      <c r="V151" s="50">
        <v>1</v>
      </c>
      <c r="W151" s="51">
        <v>1</v>
      </c>
      <c r="X151" s="51">
        <v>1</v>
      </c>
      <c r="Y151" s="50">
        <v>3</v>
      </c>
      <c r="Z151" s="50">
        <v>3</v>
      </c>
    </row>
    <row r="152" spans="1:26" ht="15" customHeight="1">
      <c r="A152" s="60"/>
      <c r="B152" s="48"/>
      <c r="C152" s="48"/>
      <c r="D152" s="48" t="s">
        <v>674</v>
      </c>
      <c r="E152" s="49">
        <v>1</v>
      </c>
      <c r="F152" s="49">
        <v>1</v>
      </c>
      <c r="G152" s="49">
        <v>2</v>
      </c>
      <c r="H152" s="49">
        <v>3</v>
      </c>
      <c r="I152" s="49">
        <v>3</v>
      </c>
      <c r="J152" s="49"/>
      <c r="K152" s="49"/>
      <c r="L152" s="49"/>
      <c r="M152" s="49">
        <v>1</v>
      </c>
      <c r="N152" s="49">
        <v>1</v>
      </c>
      <c r="O152" s="50">
        <v>3</v>
      </c>
      <c r="P152" s="50">
        <v>3</v>
      </c>
      <c r="Q152" s="50">
        <v>3</v>
      </c>
      <c r="R152" s="50">
        <v>3</v>
      </c>
      <c r="S152" s="50">
        <v>1</v>
      </c>
      <c r="T152" s="50">
        <v>1</v>
      </c>
      <c r="U152" s="50">
        <v>1</v>
      </c>
      <c r="V152" s="50">
        <v>1</v>
      </c>
      <c r="W152" s="51">
        <v>1</v>
      </c>
      <c r="X152" s="51">
        <v>1</v>
      </c>
      <c r="Y152" s="50">
        <v>3</v>
      </c>
      <c r="Z152" s="50">
        <v>3</v>
      </c>
    </row>
    <row r="153" spans="1:26" ht="15" customHeight="1">
      <c r="A153" s="60"/>
      <c r="B153" s="48"/>
      <c r="C153" s="48"/>
      <c r="D153" s="48" t="s">
        <v>675</v>
      </c>
      <c r="E153" s="49">
        <v>1</v>
      </c>
      <c r="F153" s="49">
        <v>1</v>
      </c>
      <c r="G153" s="49">
        <v>2</v>
      </c>
      <c r="H153" s="49">
        <v>3</v>
      </c>
      <c r="I153" s="49">
        <v>3</v>
      </c>
      <c r="J153" s="49"/>
      <c r="K153" s="49"/>
      <c r="L153" s="49"/>
      <c r="M153" s="49">
        <v>1</v>
      </c>
      <c r="N153" s="49">
        <v>1</v>
      </c>
      <c r="O153" s="50">
        <v>3</v>
      </c>
      <c r="P153" s="50">
        <v>3</v>
      </c>
      <c r="Q153" s="50">
        <v>3</v>
      </c>
      <c r="R153" s="50">
        <v>3</v>
      </c>
      <c r="S153" s="50">
        <v>1</v>
      </c>
      <c r="T153" s="50">
        <v>1</v>
      </c>
      <c r="U153" s="50">
        <v>1</v>
      </c>
      <c r="V153" s="50">
        <v>1</v>
      </c>
      <c r="W153" s="51">
        <v>1</v>
      </c>
      <c r="X153" s="51">
        <v>1</v>
      </c>
      <c r="Y153" s="50">
        <v>3</v>
      </c>
      <c r="Z153" s="50">
        <v>3</v>
      </c>
    </row>
    <row r="154" spans="1:26" ht="15" customHeight="1">
      <c r="A154" s="60"/>
      <c r="B154" s="48" t="s">
        <v>676</v>
      </c>
      <c r="C154" s="48"/>
      <c r="D154" s="48"/>
      <c r="E154" s="49"/>
      <c r="F154" s="49"/>
      <c r="G154" s="49"/>
      <c r="H154" s="49"/>
      <c r="I154" s="49"/>
      <c r="J154" s="49"/>
      <c r="K154" s="49"/>
      <c r="L154" s="49"/>
      <c r="M154" s="49"/>
      <c r="N154" s="49"/>
      <c r="O154" s="50"/>
      <c r="P154" s="50"/>
      <c r="Q154" s="50"/>
      <c r="R154" s="50"/>
      <c r="S154" s="50"/>
      <c r="T154" s="50"/>
      <c r="U154" s="50"/>
      <c r="V154" s="50"/>
      <c r="W154" s="51"/>
      <c r="X154" s="51"/>
      <c r="Y154" s="50"/>
      <c r="Z154" s="50"/>
    </row>
    <row r="155" spans="1:26" ht="15" customHeight="1">
      <c r="A155" s="60"/>
      <c r="B155" s="48"/>
      <c r="C155" s="48" t="s">
        <v>676</v>
      </c>
      <c r="D155" s="48" t="s">
        <v>485</v>
      </c>
      <c r="E155" s="49">
        <v>1</v>
      </c>
      <c r="F155" s="49">
        <v>1</v>
      </c>
      <c r="G155" s="49">
        <v>2</v>
      </c>
      <c r="H155" s="49">
        <v>3</v>
      </c>
      <c r="I155" s="49">
        <v>3</v>
      </c>
      <c r="J155" s="49">
        <v>1</v>
      </c>
      <c r="K155" s="49">
        <v>2</v>
      </c>
      <c r="L155" s="49">
        <v>2</v>
      </c>
      <c r="M155" s="49">
        <v>3</v>
      </c>
      <c r="N155" s="49">
        <v>3</v>
      </c>
      <c r="O155" s="50">
        <v>3</v>
      </c>
      <c r="P155" s="50">
        <v>3</v>
      </c>
      <c r="Q155" s="50">
        <v>3</v>
      </c>
      <c r="R155" s="50">
        <v>3</v>
      </c>
      <c r="S155" s="50">
        <v>2</v>
      </c>
      <c r="T155" s="50">
        <v>2</v>
      </c>
      <c r="U155" s="50">
        <v>2</v>
      </c>
      <c r="V155" s="50">
        <v>2</v>
      </c>
      <c r="W155" s="51">
        <v>2</v>
      </c>
      <c r="X155" s="51">
        <v>2</v>
      </c>
      <c r="Y155" s="50">
        <v>3</v>
      </c>
      <c r="Z155" s="50">
        <v>3</v>
      </c>
    </row>
    <row r="156" spans="1:26" ht="15" customHeight="1">
      <c r="A156" s="60"/>
      <c r="B156" s="48"/>
      <c r="C156" s="48"/>
      <c r="D156" s="48" t="s">
        <v>677</v>
      </c>
      <c r="E156" s="49">
        <v>1</v>
      </c>
      <c r="F156" s="49">
        <v>1</v>
      </c>
      <c r="G156" s="49">
        <v>2</v>
      </c>
      <c r="H156" s="49">
        <v>3</v>
      </c>
      <c r="I156" s="49">
        <v>3</v>
      </c>
      <c r="J156" s="49"/>
      <c r="K156" s="49"/>
      <c r="L156" s="49"/>
      <c r="M156" s="49">
        <v>1</v>
      </c>
      <c r="N156" s="49">
        <v>1</v>
      </c>
      <c r="O156" s="50">
        <v>3</v>
      </c>
      <c r="P156" s="50">
        <v>3</v>
      </c>
      <c r="Q156" s="50">
        <v>3</v>
      </c>
      <c r="R156" s="50">
        <v>3</v>
      </c>
      <c r="S156" s="50">
        <v>1</v>
      </c>
      <c r="T156" s="50">
        <v>1</v>
      </c>
      <c r="U156" s="50">
        <v>1</v>
      </c>
      <c r="V156" s="50">
        <v>1</v>
      </c>
      <c r="W156" s="51">
        <v>1</v>
      </c>
      <c r="X156" s="51">
        <v>1</v>
      </c>
      <c r="Y156" s="50">
        <v>3</v>
      </c>
      <c r="Z156" s="50">
        <v>3</v>
      </c>
    </row>
    <row r="157" spans="1:26" ht="15" customHeight="1">
      <c r="A157" s="60"/>
      <c r="B157" s="48"/>
      <c r="C157" s="48"/>
      <c r="D157" s="48" t="s">
        <v>678</v>
      </c>
      <c r="E157" s="49">
        <v>1</v>
      </c>
      <c r="F157" s="49">
        <v>1</v>
      </c>
      <c r="G157" s="49">
        <v>2</v>
      </c>
      <c r="H157" s="49">
        <v>3</v>
      </c>
      <c r="I157" s="49">
        <v>3</v>
      </c>
      <c r="J157" s="49"/>
      <c r="K157" s="49"/>
      <c r="L157" s="49"/>
      <c r="M157" s="49">
        <v>1</v>
      </c>
      <c r="N157" s="49">
        <v>1</v>
      </c>
      <c r="O157" s="50">
        <v>3</v>
      </c>
      <c r="P157" s="50">
        <v>3</v>
      </c>
      <c r="Q157" s="50">
        <v>3</v>
      </c>
      <c r="R157" s="50">
        <v>3</v>
      </c>
      <c r="S157" s="50">
        <v>1</v>
      </c>
      <c r="T157" s="50">
        <v>1</v>
      </c>
      <c r="U157" s="50">
        <v>1</v>
      </c>
      <c r="V157" s="50">
        <v>1</v>
      </c>
      <c r="W157" s="51">
        <v>1</v>
      </c>
      <c r="X157" s="51">
        <v>1</v>
      </c>
      <c r="Y157" s="50">
        <v>3</v>
      </c>
      <c r="Z157" s="50">
        <v>3</v>
      </c>
    </row>
    <row r="158" spans="1:26" ht="15" customHeight="1">
      <c r="A158" s="60"/>
      <c r="B158" s="48"/>
      <c r="C158" s="48"/>
      <c r="D158" s="48" t="s">
        <v>679</v>
      </c>
      <c r="E158" s="49">
        <v>1</v>
      </c>
      <c r="F158" s="49">
        <v>1</v>
      </c>
      <c r="G158" s="49">
        <v>2</v>
      </c>
      <c r="H158" s="49">
        <v>3</v>
      </c>
      <c r="I158" s="49">
        <v>3</v>
      </c>
      <c r="J158" s="49"/>
      <c r="K158" s="49"/>
      <c r="L158" s="49"/>
      <c r="M158" s="49">
        <v>1</v>
      </c>
      <c r="N158" s="49">
        <v>1</v>
      </c>
      <c r="O158" s="50">
        <v>3</v>
      </c>
      <c r="P158" s="50">
        <v>3</v>
      </c>
      <c r="Q158" s="50">
        <v>3</v>
      </c>
      <c r="R158" s="50">
        <v>3</v>
      </c>
      <c r="S158" s="50">
        <v>1</v>
      </c>
      <c r="T158" s="50">
        <v>1</v>
      </c>
      <c r="U158" s="50">
        <v>1</v>
      </c>
      <c r="V158" s="50">
        <v>1</v>
      </c>
      <c r="W158" s="51">
        <v>1</v>
      </c>
      <c r="X158" s="51">
        <v>1</v>
      </c>
      <c r="Y158" s="50">
        <v>3</v>
      </c>
      <c r="Z158" s="50">
        <v>3</v>
      </c>
    </row>
    <row r="159" spans="1:26" ht="15" customHeight="1">
      <c r="A159" s="60"/>
      <c r="B159" s="48"/>
      <c r="C159" s="48"/>
      <c r="D159" s="48" t="s">
        <v>680</v>
      </c>
      <c r="E159" s="49">
        <v>1</v>
      </c>
      <c r="F159" s="49">
        <v>2</v>
      </c>
      <c r="G159" s="49">
        <v>2</v>
      </c>
      <c r="H159" s="49">
        <v>3</v>
      </c>
      <c r="I159" s="49">
        <v>3</v>
      </c>
      <c r="J159" s="49"/>
      <c r="K159" s="49"/>
      <c r="L159" s="49"/>
      <c r="M159" s="49">
        <v>1</v>
      </c>
      <c r="N159" s="49">
        <v>1</v>
      </c>
      <c r="O159" s="50">
        <v>3</v>
      </c>
      <c r="P159" s="50">
        <v>3</v>
      </c>
      <c r="Q159" s="50">
        <v>3</v>
      </c>
      <c r="R159" s="50">
        <v>3</v>
      </c>
      <c r="S159" s="50">
        <v>1</v>
      </c>
      <c r="T159" s="50">
        <v>1</v>
      </c>
      <c r="U159" s="50">
        <v>1</v>
      </c>
      <c r="V159" s="50">
        <v>1</v>
      </c>
      <c r="W159" s="51">
        <v>1</v>
      </c>
      <c r="X159" s="51">
        <v>1</v>
      </c>
      <c r="Y159" s="50">
        <v>3</v>
      </c>
      <c r="Z159" s="50">
        <v>3</v>
      </c>
    </row>
    <row r="160" spans="1:26" ht="15" customHeight="1">
      <c r="A160" s="60"/>
      <c r="B160" s="48"/>
      <c r="C160" s="48"/>
      <c r="D160" s="48" t="s">
        <v>681</v>
      </c>
      <c r="E160" s="49">
        <v>1</v>
      </c>
      <c r="F160" s="49">
        <v>1</v>
      </c>
      <c r="G160" s="49">
        <v>2</v>
      </c>
      <c r="H160" s="49">
        <v>3</v>
      </c>
      <c r="I160" s="49">
        <v>3</v>
      </c>
      <c r="J160" s="49"/>
      <c r="K160" s="49"/>
      <c r="L160" s="49"/>
      <c r="M160" s="49">
        <v>1</v>
      </c>
      <c r="N160" s="49">
        <v>1</v>
      </c>
      <c r="O160" s="50">
        <v>3</v>
      </c>
      <c r="P160" s="50">
        <v>3</v>
      </c>
      <c r="Q160" s="50">
        <v>3</v>
      </c>
      <c r="R160" s="50">
        <v>3</v>
      </c>
      <c r="S160" s="50">
        <v>1</v>
      </c>
      <c r="T160" s="50">
        <v>1</v>
      </c>
      <c r="U160" s="50">
        <v>1</v>
      </c>
      <c r="V160" s="50">
        <v>1</v>
      </c>
      <c r="W160" s="51">
        <v>1</v>
      </c>
      <c r="X160" s="51">
        <v>1</v>
      </c>
      <c r="Y160" s="50">
        <v>3</v>
      </c>
      <c r="Z160" s="50">
        <v>3</v>
      </c>
    </row>
    <row r="161" spans="1:26" ht="15" customHeight="1">
      <c r="A161" s="60"/>
      <c r="B161" s="48"/>
      <c r="C161" s="48"/>
      <c r="D161" s="48" t="s">
        <v>682</v>
      </c>
      <c r="E161" s="49">
        <v>1</v>
      </c>
      <c r="F161" s="49">
        <v>1</v>
      </c>
      <c r="G161" s="49">
        <v>2</v>
      </c>
      <c r="H161" s="49">
        <v>3</v>
      </c>
      <c r="I161" s="49">
        <v>3</v>
      </c>
      <c r="J161" s="49"/>
      <c r="K161" s="49"/>
      <c r="L161" s="49"/>
      <c r="M161" s="49">
        <v>1</v>
      </c>
      <c r="N161" s="49">
        <v>1</v>
      </c>
      <c r="O161" s="50">
        <v>3</v>
      </c>
      <c r="P161" s="50">
        <v>3</v>
      </c>
      <c r="Q161" s="50">
        <v>3</v>
      </c>
      <c r="R161" s="50">
        <v>3</v>
      </c>
      <c r="S161" s="50">
        <v>1</v>
      </c>
      <c r="T161" s="50">
        <v>1</v>
      </c>
      <c r="U161" s="50">
        <v>1</v>
      </c>
      <c r="V161" s="50">
        <v>1</v>
      </c>
      <c r="W161" s="51">
        <v>1</v>
      </c>
      <c r="X161" s="51">
        <v>1</v>
      </c>
      <c r="Y161" s="50">
        <v>3</v>
      </c>
      <c r="Z161" s="50">
        <v>3</v>
      </c>
    </row>
    <row r="162" spans="1:26" ht="15" customHeight="1">
      <c r="A162" s="60"/>
      <c r="B162" s="48"/>
      <c r="C162" s="48"/>
      <c r="D162" s="48" t="s">
        <v>683</v>
      </c>
      <c r="E162" s="49">
        <v>1</v>
      </c>
      <c r="F162" s="49">
        <v>1</v>
      </c>
      <c r="G162" s="49">
        <v>2</v>
      </c>
      <c r="H162" s="49">
        <v>3</v>
      </c>
      <c r="I162" s="49">
        <v>3</v>
      </c>
      <c r="J162" s="49"/>
      <c r="K162" s="49"/>
      <c r="L162" s="49"/>
      <c r="M162" s="49">
        <v>1</v>
      </c>
      <c r="N162" s="49">
        <v>1</v>
      </c>
      <c r="O162" s="50">
        <v>3</v>
      </c>
      <c r="P162" s="50">
        <v>3</v>
      </c>
      <c r="Q162" s="50">
        <v>3</v>
      </c>
      <c r="R162" s="50">
        <v>3</v>
      </c>
      <c r="S162" s="50">
        <v>1</v>
      </c>
      <c r="T162" s="50">
        <v>1</v>
      </c>
      <c r="U162" s="50">
        <v>1</v>
      </c>
      <c r="V162" s="50">
        <v>1</v>
      </c>
      <c r="W162" s="51">
        <v>1</v>
      </c>
      <c r="X162" s="51">
        <v>1</v>
      </c>
      <c r="Y162" s="50">
        <v>3</v>
      </c>
      <c r="Z162" s="50">
        <v>3</v>
      </c>
    </row>
    <row r="163" spans="1:26" ht="15" customHeight="1">
      <c r="A163" s="60"/>
      <c r="B163" s="48"/>
      <c r="C163" s="48"/>
      <c r="D163" s="48" t="s">
        <v>684</v>
      </c>
      <c r="E163" s="49">
        <v>1</v>
      </c>
      <c r="F163" s="49">
        <v>1</v>
      </c>
      <c r="G163" s="49">
        <v>2</v>
      </c>
      <c r="H163" s="49">
        <v>3</v>
      </c>
      <c r="I163" s="49">
        <v>3</v>
      </c>
      <c r="J163" s="49"/>
      <c r="K163" s="49"/>
      <c r="L163" s="49"/>
      <c r="M163" s="49">
        <v>1</v>
      </c>
      <c r="N163" s="49">
        <v>1</v>
      </c>
      <c r="O163" s="50">
        <v>3</v>
      </c>
      <c r="P163" s="50">
        <v>3</v>
      </c>
      <c r="Q163" s="50">
        <v>3</v>
      </c>
      <c r="R163" s="50">
        <v>3</v>
      </c>
      <c r="S163" s="50">
        <v>1</v>
      </c>
      <c r="T163" s="50">
        <v>1</v>
      </c>
      <c r="U163" s="50">
        <v>1</v>
      </c>
      <c r="V163" s="50">
        <v>1</v>
      </c>
      <c r="W163" s="51">
        <v>1</v>
      </c>
      <c r="X163" s="51">
        <v>1</v>
      </c>
      <c r="Y163" s="50">
        <v>3</v>
      </c>
      <c r="Z163" s="50">
        <v>3</v>
      </c>
    </row>
    <row r="164" spans="1:26" ht="15" customHeight="1">
      <c r="A164" s="60"/>
      <c r="B164" s="48"/>
      <c r="C164" s="48"/>
      <c r="D164" s="48" t="s">
        <v>685</v>
      </c>
      <c r="E164" s="49">
        <v>1</v>
      </c>
      <c r="F164" s="49">
        <v>1</v>
      </c>
      <c r="G164" s="49">
        <v>2</v>
      </c>
      <c r="H164" s="49">
        <v>3</v>
      </c>
      <c r="I164" s="49">
        <v>3</v>
      </c>
      <c r="J164" s="49"/>
      <c r="K164" s="49"/>
      <c r="L164" s="49"/>
      <c r="M164" s="49">
        <v>1</v>
      </c>
      <c r="N164" s="49">
        <v>1</v>
      </c>
      <c r="O164" s="50">
        <v>3</v>
      </c>
      <c r="P164" s="50">
        <v>3</v>
      </c>
      <c r="Q164" s="50">
        <v>3</v>
      </c>
      <c r="R164" s="50">
        <v>3</v>
      </c>
      <c r="S164" s="50">
        <v>1</v>
      </c>
      <c r="T164" s="50">
        <v>1</v>
      </c>
      <c r="U164" s="50">
        <v>1</v>
      </c>
      <c r="V164" s="50">
        <v>1</v>
      </c>
      <c r="W164" s="51">
        <v>1</v>
      </c>
      <c r="X164" s="51">
        <v>1</v>
      </c>
      <c r="Y164" s="50">
        <v>3</v>
      </c>
      <c r="Z164" s="50">
        <v>3</v>
      </c>
    </row>
    <row r="165" spans="1:26" ht="15" customHeight="1">
      <c r="A165" s="60"/>
      <c r="B165" s="48"/>
      <c r="C165" s="48"/>
      <c r="D165" s="48" t="s">
        <v>686</v>
      </c>
      <c r="E165" s="49">
        <v>1</v>
      </c>
      <c r="F165" s="49">
        <v>1</v>
      </c>
      <c r="G165" s="49">
        <v>2</v>
      </c>
      <c r="H165" s="49">
        <v>3</v>
      </c>
      <c r="I165" s="49">
        <v>3</v>
      </c>
      <c r="J165" s="49"/>
      <c r="K165" s="49"/>
      <c r="L165" s="49"/>
      <c r="M165" s="49">
        <v>1</v>
      </c>
      <c r="N165" s="49">
        <v>1</v>
      </c>
      <c r="O165" s="50">
        <v>3</v>
      </c>
      <c r="P165" s="50">
        <v>3</v>
      </c>
      <c r="Q165" s="50">
        <v>3</v>
      </c>
      <c r="R165" s="50">
        <v>3</v>
      </c>
      <c r="S165" s="50">
        <v>1</v>
      </c>
      <c r="T165" s="50">
        <v>1</v>
      </c>
      <c r="U165" s="50">
        <v>1</v>
      </c>
      <c r="V165" s="50">
        <v>1</v>
      </c>
      <c r="W165" s="51">
        <v>1</v>
      </c>
      <c r="X165" s="51">
        <v>1</v>
      </c>
      <c r="Y165" s="50">
        <v>3</v>
      </c>
      <c r="Z165" s="50">
        <v>3</v>
      </c>
    </row>
    <row r="166" spans="1:26" ht="15" customHeight="1">
      <c r="A166" s="60"/>
      <c r="B166" s="48"/>
      <c r="C166" s="48"/>
      <c r="D166" s="48" t="s">
        <v>687</v>
      </c>
      <c r="E166" s="49">
        <v>1</v>
      </c>
      <c r="F166" s="49">
        <v>1</v>
      </c>
      <c r="G166" s="49">
        <v>2</v>
      </c>
      <c r="H166" s="49">
        <v>3</v>
      </c>
      <c r="I166" s="49">
        <v>3</v>
      </c>
      <c r="J166" s="49"/>
      <c r="K166" s="49"/>
      <c r="L166" s="49"/>
      <c r="M166" s="49">
        <v>1</v>
      </c>
      <c r="N166" s="49">
        <v>1</v>
      </c>
      <c r="O166" s="50">
        <v>3</v>
      </c>
      <c r="P166" s="50">
        <v>3</v>
      </c>
      <c r="Q166" s="50">
        <v>3</v>
      </c>
      <c r="R166" s="50">
        <v>3</v>
      </c>
      <c r="S166" s="50">
        <v>1</v>
      </c>
      <c r="T166" s="50">
        <v>1</v>
      </c>
      <c r="U166" s="50">
        <v>1</v>
      </c>
      <c r="V166" s="50">
        <v>1</v>
      </c>
      <c r="W166" s="51">
        <v>1</v>
      </c>
      <c r="X166" s="51">
        <v>1</v>
      </c>
      <c r="Y166" s="50">
        <v>3</v>
      </c>
      <c r="Z166" s="50">
        <v>3</v>
      </c>
    </row>
    <row r="167" spans="1:26" ht="15" customHeight="1">
      <c r="A167" s="60"/>
      <c r="B167" s="48"/>
      <c r="C167" s="48"/>
      <c r="D167" s="48" t="s">
        <v>688</v>
      </c>
      <c r="E167" s="49">
        <v>1</v>
      </c>
      <c r="F167" s="49">
        <v>1</v>
      </c>
      <c r="G167" s="49">
        <v>2</v>
      </c>
      <c r="H167" s="49">
        <v>3</v>
      </c>
      <c r="I167" s="49">
        <v>3</v>
      </c>
      <c r="J167" s="49"/>
      <c r="K167" s="49"/>
      <c r="L167" s="49"/>
      <c r="M167" s="49">
        <v>1</v>
      </c>
      <c r="N167" s="49">
        <v>1</v>
      </c>
      <c r="O167" s="50">
        <v>3</v>
      </c>
      <c r="P167" s="50">
        <v>3</v>
      </c>
      <c r="Q167" s="50">
        <v>3</v>
      </c>
      <c r="R167" s="50">
        <v>3</v>
      </c>
      <c r="S167" s="50">
        <v>1</v>
      </c>
      <c r="T167" s="50">
        <v>1</v>
      </c>
      <c r="U167" s="50">
        <v>1</v>
      </c>
      <c r="V167" s="50">
        <v>1</v>
      </c>
      <c r="W167" s="51">
        <v>1</v>
      </c>
      <c r="X167" s="51">
        <v>1</v>
      </c>
      <c r="Y167" s="50">
        <v>3</v>
      </c>
      <c r="Z167" s="50">
        <v>3</v>
      </c>
    </row>
    <row r="168" spans="1:26" ht="15" customHeight="1">
      <c r="A168" s="60"/>
      <c r="B168" s="48"/>
      <c r="C168" s="48"/>
      <c r="D168" s="48" t="s">
        <v>689</v>
      </c>
      <c r="E168" s="49">
        <v>1</v>
      </c>
      <c r="F168" s="49">
        <v>1</v>
      </c>
      <c r="G168" s="49">
        <v>2</v>
      </c>
      <c r="H168" s="49">
        <v>3</v>
      </c>
      <c r="I168" s="49">
        <v>3</v>
      </c>
      <c r="J168" s="49"/>
      <c r="K168" s="49"/>
      <c r="L168" s="49"/>
      <c r="M168" s="49">
        <v>1</v>
      </c>
      <c r="N168" s="49">
        <v>1</v>
      </c>
      <c r="O168" s="50">
        <v>3</v>
      </c>
      <c r="P168" s="50">
        <v>3</v>
      </c>
      <c r="Q168" s="50">
        <v>3</v>
      </c>
      <c r="R168" s="50">
        <v>3</v>
      </c>
      <c r="S168" s="50">
        <v>1</v>
      </c>
      <c r="T168" s="50">
        <v>1</v>
      </c>
      <c r="U168" s="50">
        <v>1</v>
      </c>
      <c r="V168" s="50">
        <v>1</v>
      </c>
      <c r="W168" s="51">
        <v>1</v>
      </c>
      <c r="X168" s="51">
        <v>1</v>
      </c>
      <c r="Y168" s="50">
        <v>3</v>
      </c>
      <c r="Z168" s="50">
        <v>3</v>
      </c>
    </row>
    <row r="169" spans="1:26" ht="15" customHeight="1">
      <c r="A169" s="60"/>
      <c r="B169" s="48"/>
      <c r="C169" s="48"/>
      <c r="D169" s="48" t="s">
        <v>690</v>
      </c>
      <c r="E169" s="49">
        <v>1</v>
      </c>
      <c r="F169" s="49">
        <v>1</v>
      </c>
      <c r="G169" s="49">
        <v>2</v>
      </c>
      <c r="H169" s="49">
        <v>3</v>
      </c>
      <c r="I169" s="49">
        <v>3</v>
      </c>
      <c r="J169" s="49"/>
      <c r="K169" s="49"/>
      <c r="L169" s="49"/>
      <c r="M169" s="49">
        <v>1</v>
      </c>
      <c r="N169" s="49">
        <v>1</v>
      </c>
      <c r="O169" s="50">
        <v>3</v>
      </c>
      <c r="P169" s="50">
        <v>3</v>
      </c>
      <c r="Q169" s="50">
        <v>3</v>
      </c>
      <c r="R169" s="50">
        <v>3</v>
      </c>
      <c r="S169" s="50">
        <v>1</v>
      </c>
      <c r="T169" s="50">
        <v>1</v>
      </c>
      <c r="U169" s="50">
        <v>1</v>
      </c>
      <c r="V169" s="50">
        <v>1</v>
      </c>
      <c r="W169" s="51">
        <v>1</v>
      </c>
      <c r="X169" s="51">
        <v>1</v>
      </c>
      <c r="Y169" s="50">
        <v>3</v>
      </c>
      <c r="Z169" s="50">
        <v>3</v>
      </c>
    </row>
    <row r="170" spans="1:26" ht="15" customHeight="1">
      <c r="A170" s="60"/>
      <c r="B170" s="48"/>
      <c r="C170" s="48"/>
      <c r="D170" s="48" t="s">
        <v>691</v>
      </c>
      <c r="E170" s="49">
        <v>1</v>
      </c>
      <c r="F170" s="49">
        <v>1</v>
      </c>
      <c r="G170" s="49">
        <v>2</v>
      </c>
      <c r="H170" s="49">
        <v>3</v>
      </c>
      <c r="I170" s="49">
        <v>3</v>
      </c>
      <c r="J170" s="49"/>
      <c r="K170" s="49"/>
      <c r="L170" s="49"/>
      <c r="M170" s="49">
        <v>1</v>
      </c>
      <c r="N170" s="49">
        <v>1</v>
      </c>
      <c r="O170" s="50">
        <v>3</v>
      </c>
      <c r="P170" s="50">
        <v>3</v>
      </c>
      <c r="Q170" s="50">
        <v>3</v>
      </c>
      <c r="R170" s="50">
        <v>3</v>
      </c>
      <c r="S170" s="50">
        <v>1</v>
      </c>
      <c r="T170" s="50">
        <v>1</v>
      </c>
      <c r="U170" s="50">
        <v>1</v>
      </c>
      <c r="V170" s="50">
        <v>1</v>
      </c>
      <c r="W170" s="50">
        <v>1</v>
      </c>
      <c r="X170" s="50">
        <v>1</v>
      </c>
      <c r="Y170" s="50">
        <v>3</v>
      </c>
      <c r="Z170" s="50">
        <v>3</v>
      </c>
    </row>
    <row r="171" spans="1:26" ht="15" customHeight="1">
      <c r="A171" s="60"/>
      <c r="B171" s="48"/>
      <c r="C171" s="48"/>
      <c r="D171" s="48" t="s">
        <v>692</v>
      </c>
      <c r="E171" s="49">
        <v>1</v>
      </c>
      <c r="F171" s="49">
        <v>1</v>
      </c>
      <c r="G171" s="49">
        <v>2</v>
      </c>
      <c r="H171" s="49">
        <v>3</v>
      </c>
      <c r="I171" s="49">
        <v>3</v>
      </c>
      <c r="J171" s="49"/>
      <c r="K171" s="49"/>
      <c r="L171" s="49"/>
      <c r="M171" s="49">
        <v>1</v>
      </c>
      <c r="N171" s="49">
        <v>1</v>
      </c>
      <c r="O171" s="50">
        <v>3</v>
      </c>
      <c r="P171" s="50">
        <v>3</v>
      </c>
      <c r="Q171" s="50">
        <v>3</v>
      </c>
      <c r="R171" s="50">
        <v>3</v>
      </c>
      <c r="S171" s="50">
        <v>1</v>
      </c>
      <c r="T171" s="50">
        <v>1</v>
      </c>
      <c r="U171" s="50">
        <v>1</v>
      </c>
      <c r="V171" s="50">
        <v>1</v>
      </c>
      <c r="W171" s="51">
        <v>1</v>
      </c>
      <c r="X171" s="51">
        <v>1</v>
      </c>
      <c r="Y171" s="50">
        <v>3</v>
      </c>
      <c r="Z171" s="50">
        <v>3</v>
      </c>
    </row>
    <row r="172" spans="1:26" ht="15" customHeight="1">
      <c r="A172" s="60"/>
      <c r="B172" s="48" t="s">
        <v>693</v>
      </c>
      <c r="C172" s="48"/>
      <c r="D172" s="48"/>
      <c r="E172" s="49"/>
      <c r="F172" s="49"/>
      <c r="G172" s="49"/>
      <c r="H172" s="49"/>
      <c r="I172" s="49"/>
      <c r="J172" s="49"/>
      <c r="K172" s="49"/>
      <c r="L172" s="49"/>
      <c r="M172" s="49"/>
      <c r="N172" s="49"/>
      <c r="O172" s="50"/>
      <c r="P172" s="50"/>
      <c r="Q172" s="50"/>
      <c r="R172" s="50"/>
      <c r="S172" s="50"/>
      <c r="T172" s="50"/>
      <c r="U172" s="50"/>
      <c r="V172" s="50"/>
      <c r="W172" s="51"/>
      <c r="X172" s="51"/>
      <c r="Y172" s="50"/>
      <c r="Z172" s="50"/>
    </row>
    <row r="173" spans="1:26" ht="15" customHeight="1">
      <c r="A173" s="60"/>
      <c r="B173" s="48"/>
      <c r="C173" s="48" t="s">
        <v>694</v>
      </c>
      <c r="D173" s="48" t="s">
        <v>695</v>
      </c>
      <c r="E173" s="49">
        <v>1</v>
      </c>
      <c r="F173" s="49">
        <v>2</v>
      </c>
      <c r="G173" s="49">
        <v>2</v>
      </c>
      <c r="H173" s="49">
        <v>3</v>
      </c>
      <c r="I173" s="49">
        <v>3</v>
      </c>
      <c r="J173" s="49">
        <v>1</v>
      </c>
      <c r="K173" s="49">
        <v>2</v>
      </c>
      <c r="L173" s="49">
        <v>2</v>
      </c>
      <c r="M173" s="49">
        <v>3</v>
      </c>
      <c r="N173" s="49">
        <v>3</v>
      </c>
      <c r="O173" s="50">
        <v>3</v>
      </c>
      <c r="P173" s="50">
        <v>3</v>
      </c>
      <c r="Q173" s="50">
        <v>3</v>
      </c>
      <c r="R173" s="50">
        <v>3</v>
      </c>
      <c r="S173" s="50">
        <v>2</v>
      </c>
      <c r="T173" s="50">
        <v>2</v>
      </c>
      <c r="U173" s="50">
        <v>2</v>
      </c>
      <c r="V173" s="50">
        <v>2</v>
      </c>
      <c r="W173" s="51">
        <v>2</v>
      </c>
      <c r="X173" s="51">
        <v>2</v>
      </c>
      <c r="Y173" s="50">
        <v>3</v>
      </c>
      <c r="Z173" s="50">
        <v>3</v>
      </c>
    </row>
    <row r="174" spans="1:26" ht="15" customHeight="1">
      <c r="A174" s="60"/>
      <c r="B174" s="48"/>
      <c r="C174" s="48"/>
      <c r="D174" s="48" t="s">
        <v>696</v>
      </c>
      <c r="E174" s="49">
        <v>1</v>
      </c>
      <c r="F174" s="49">
        <v>1</v>
      </c>
      <c r="G174" s="49">
        <v>2</v>
      </c>
      <c r="H174" s="49">
        <v>3</v>
      </c>
      <c r="I174" s="49">
        <v>3</v>
      </c>
      <c r="J174" s="49">
        <v>1</v>
      </c>
      <c r="K174" s="49">
        <v>2</v>
      </c>
      <c r="L174" s="49">
        <v>2</v>
      </c>
      <c r="M174" s="49">
        <v>3</v>
      </c>
      <c r="N174" s="49">
        <v>3</v>
      </c>
      <c r="O174" s="50">
        <v>3</v>
      </c>
      <c r="P174" s="50">
        <v>3</v>
      </c>
      <c r="Q174" s="50">
        <v>3</v>
      </c>
      <c r="R174" s="50">
        <v>3</v>
      </c>
      <c r="S174" s="50">
        <v>1</v>
      </c>
      <c r="T174" s="50">
        <v>1</v>
      </c>
      <c r="U174" s="50">
        <v>1</v>
      </c>
      <c r="V174" s="50">
        <v>1</v>
      </c>
      <c r="W174" s="51">
        <v>1</v>
      </c>
      <c r="X174" s="51">
        <v>1</v>
      </c>
      <c r="Y174" s="50">
        <v>3</v>
      </c>
      <c r="Z174" s="50">
        <v>3</v>
      </c>
    </row>
    <row r="175" spans="1:26" ht="15" customHeight="1">
      <c r="A175" s="60"/>
      <c r="B175" s="48"/>
      <c r="C175" s="48"/>
      <c r="D175" s="48" t="s">
        <v>697</v>
      </c>
      <c r="E175" s="49">
        <v>1</v>
      </c>
      <c r="F175" s="49">
        <v>1</v>
      </c>
      <c r="G175" s="49">
        <v>2</v>
      </c>
      <c r="H175" s="49">
        <v>3</v>
      </c>
      <c r="I175" s="49">
        <v>3</v>
      </c>
      <c r="J175" s="49">
        <v>1</v>
      </c>
      <c r="K175" s="49">
        <v>2</v>
      </c>
      <c r="L175" s="49">
        <v>2</v>
      </c>
      <c r="M175" s="49">
        <v>3</v>
      </c>
      <c r="N175" s="49">
        <v>3</v>
      </c>
      <c r="O175" s="50">
        <v>3</v>
      </c>
      <c r="P175" s="50">
        <v>3</v>
      </c>
      <c r="Q175" s="50">
        <v>3</v>
      </c>
      <c r="R175" s="50">
        <v>3</v>
      </c>
      <c r="S175" s="50">
        <v>1</v>
      </c>
      <c r="T175" s="50">
        <v>1</v>
      </c>
      <c r="U175" s="50">
        <v>1</v>
      </c>
      <c r="V175" s="50">
        <v>1</v>
      </c>
      <c r="W175" s="51">
        <v>1</v>
      </c>
      <c r="X175" s="51">
        <v>1</v>
      </c>
      <c r="Y175" s="50">
        <v>3</v>
      </c>
      <c r="Z175" s="50">
        <v>3</v>
      </c>
    </row>
    <row r="176" spans="1:26" ht="15" customHeight="1">
      <c r="A176" s="60"/>
      <c r="B176" s="48"/>
      <c r="C176" s="48" t="s">
        <v>698</v>
      </c>
      <c r="D176" s="48" t="s">
        <v>699</v>
      </c>
      <c r="E176" s="49">
        <v>1</v>
      </c>
      <c r="F176" s="49">
        <v>1</v>
      </c>
      <c r="G176" s="49">
        <v>2</v>
      </c>
      <c r="H176" s="49">
        <v>3</v>
      </c>
      <c r="I176" s="49">
        <v>3</v>
      </c>
      <c r="J176" s="49"/>
      <c r="K176" s="49"/>
      <c r="L176" s="49"/>
      <c r="M176" s="49">
        <v>1</v>
      </c>
      <c r="N176" s="49">
        <v>1</v>
      </c>
      <c r="O176" s="50">
        <v>3</v>
      </c>
      <c r="P176" s="50">
        <v>3</v>
      </c>
      <c r="Q176" s="50">
        <v>3</v>
      </c>
      <c r="R176" s="50">
        <v>3</v>
      </c>
      <c r="S176" s="50">
        <v>1</v>
      </c>
      <c r="T176" s="50">
        <v>1</v>
      </c>
      <c r="U176" s="50">
        <v>1</v>
      </c>
      <c r="V176" s="50">
        <v>1</v>
      </c>
      <c r="W176" s="51">
        <v>1</v>
      </c>
      <c r="X176" s="51">
        <v>1</v>
      </c>
      <c r="Y176" s="50">
        <v>3</v>
      </c>
      <c r="Z176" s="50">
        <v>3</v>
      </c>
    </row>
    <row r="177" spans="1:26" ht="15" customHeight="1">
      <c r="A177" s="60"/>
      <c r="B177" s="48"/>
      <c r="C177" s="48" t="s">
        <v>700</v>
      </c>
      <c r="D177" s="48" t="s">
        <v>701</v>
      </c>
      <c r="E177" s="49">
        <v>1</v>
      </c>
      <c r="F177" s="49">
        <v>1</v>
      </c>
      <c r="G177" s="49">
        <v>2</v>
      </c>
      <c r="H177" s="49">
        <v>3</v>
      </c>
      <c r="I177" s="49">
        <v>3</v>
      </c>
      <c r="J177" s="49"/>
      <c r="K177" s="49"/>
      <c r="L177" s="49"/>
      <c r="M177" s="49">
        <v>1</v>
      </c>
      <c r="N177" s="49">
        <v>1</v>
      </c>
      <c r="O177" s="50">
        <v>3</v>
      </c>
      <c r="P177" s="50">
        <v>3</v>
      </c>
      <c r="Q177" s="50">
        <v>3</v>
      </c>
      <c r="R177" s="50">
        <v>3</v>
      </c>
      <c r="S177" s="50">
        <v>1</v>
      </c>
      <c r="T177" s="50">
        <v>1</v>
      </c>
      <c r="U177" s="50">
        <v>1</v>
      </c>
      <c r="V177" s="50">
        <v>1</v>
      </c>
      <c r="W177" s="50">
        <v>1</v>
      </c>
      <c r="X177" s="50">
        <v>1</v>
      </c>
      <c r="Y177" s="50">
        <v>3</v>
      </c>
      <c r="Z177" s="50">
        <v>3</v>
      </c>
    </row>
    <row r="178" spans="1:26" ht="15" customHeight="1">
      <c r="A178" s="60"/>
      <c r="B178" s="48"/>
      <c r="C178" s="48"/>
      <c r="D178" s="48" t="s">
        <v>702</v>
      </c>
      <c r="E178" s="49">
        <v>1</v>
      </c>
      <c r="F178" s="49">
        <v>1</v>
      </c>
      <c r="G178" s="49">
        <v>2</v>
      </c>
      <c r="H178" s="49">
        <v>3</v>
      </c>
      <c r="I178" s="49">
        <v>3</v>
      </c>
      <c r="J178" s="49"/>
      <c r="K178" s="49"/>
      <c r="L178" s="49"/>
      <c r="M178" s="49">
        <v>1</v>
      </c>
      <c r="N178" s="49">
        <v>1</v>
      </c>
      <c r="O178" s="50">
        <v>3</v>
      </c>
      <c r="P178" s="50">
        <v>3</v>
      </c>
      <c r="Q178" s="50">
        <v>3</v>
      </c>
      <c r="R178" s="50">
        <v>3</v>
      </c>
      <c r="S178" s="50">
        <v>1</v>
      </c>
      <c r="T178" s="50">
        <v>1</v>
      </c>
      <c r="U178" s="50">
        <v>1</v>
      </c>
      <c r="V178" s="50">
        <v>1</v>
      </c>
      <c r="W178" s="51">
        <v>1</v>
      </c>
      <c r="X178" s="51">
        <v>1</v>
      </c>
      <c r="Y178" s="50">
        <v>3</v>
      </c>
      <c r="Z178" s="50">
        <v>3</v>
      </c>
    </row>
    <row r="179" spans="1:26" ht="15" customHeight="1">
      <c r="A179" s="60"/>
      <c r="B179" s="48"/>
      <c r="C179" s="48" t="s">
        <v>703</v>
      </c>
      <c r="D179" s="48" t="s">
        <v>704</v>
      </c>
      <c r="E179" s="49">
        <v>1</v>
      </c>
      <c r="F179" s="49">
        <v>1</v>
      </c>
      <c r="G179" s="49">
        <v>2</v>
      </c>
      <c r="H179" s="49">
        <v>3</v>
      </c>
      <c r="I179" s="49">
        <v>3</v>
      </c>
      <c r="J179" s="49"/>
      <c r="K179" s="49"/>
      <c r="L179" s="49"/>
      <c r="M179" s="49">
        <v>1</v>
      </c>
      <c r="N179" s="49">
        <v>1</v>
      </c>
      <c r="O179" s="50">
        <v>3</v>
      </c>
      <c r="P179" s="50">
        <v>3</v>
      </c>
      <c r="Q179" s="50">
        <v>3</v>
      </c>
      <c r="R179" s="50">
        <v>3</v>
      </c>
      <c r="S179" s="50">
        <v>1</v>
      </c>
      <c r="T179" s="50">
        <v>1</v>
      </c>
      <c r="U179" s="50">
        <v>1</v>
      </c>
      <c r="V179" s="50">
        <v>1</v>
      </c>
      <c r="W179" s="51">
        <v>1</v>
      </c>
      <c r="X179" s="51">
        <v>1</v>
      </c>
      <c r="Y179" s="50">
        <v>3</v>
      </c>
      <c r="Z179" s="50">
        <v>3</v>
      </c>
    </row>
    <row r="180" spans="1:26" ht="15" customHeight="1">
      <c r="A180" s="60"/>
      <c r="B180" s="48"/>
      <c r="C180" s="48"/>
      <c r="D180" s="48" t="s">
        <v>705</v>
      </c>
      <c r="E180" s="49">
        <v>1</v>
      </c>
      <c r="F180" s="49">
        <v>1</v>
      </c>
      <c r="G180" s="49">
        <v>2</v>
      </c>
      <c r="H180" s="49">
        <v>3</v>
      </c>
      <c r="I180" s="49">
        <v>3</v>
      </c>
      <c r="J180" s="49"/>
      <c r="K180" s="49"/>
      <c r="L180" s="49"/>
      <c r="M180" s="49">
        <v>1</v>
      </c>
      <c r="N180" s="49">
        <v>1</v>
      </c>
      <c r="O180" s="50">
        <v>3</v>
      </c>
      <c r="P180" s="50">
        <v>3</v>
      </c>
      <c r="Q180" s="50">
        <v>3</v>
      </c>
      <c r="R180" s="50">
        <v>3</v>
      </c>
      <c r="S180" s="50">
        <v>1</v>
      </c>
      <c r="T180" s="50">
        <v>1</v>
      </c>
      <c r="U180" s="50">
        <v>1</v>
      </c>
      <c r="V180" s="50">
        <v>1</v>
      </c>
      <c r="W180" s="51">
        <v>1</v>
      </c>
      <c r="X180" s="51">
        <v>1</v>
      </c>
      <c r="Y180" s="50">
        <v>3</v>
      </c>
      <c r="Z180" s="50">
        <v>3</v>
      </c>
    </row>
    <row r="181" spans="1:26" ht="15" customHeight="1">
      <c r="A181" s="60"/>
      <c r="B181" s="48"/>
      <c r="C181" s="48" t="s">
        <v>706</v>
      </c>
      <c r="D181" s="48" t="s">
        <v>707</v>
      </c>
      <c r="E181" s="49">
        <v>1</v>
      </c>
      <c r="F181" s="49">
        <v>1</v>
      </c>
      <c r="G181" s="49">
        <v>2</v>
      </c>
      <c r="H181" s="49">
        <v>3</v>
      </c>
      <c r="I181" s="49">
        <v>3</v>
      </c>
      <c r="J181" s="49"/>
      <c r="K181" s="49"/>
      <c r="L181" s="49"/>
      <c r="M181" s="49">
        <v>1</v>
      </c>
      <c r="N181" s="49">
        <v>1</v>
      </c>
      <c r="O181" s="50">
        <v>3</v>
      </c>
      <c r="P181" s="50">
        <v>3</v>
      </c>
      <c r="Q181" s="50">
        <v>3</v>
      </c>
      <c r="R181" s="50">
        <v>3</v>
      </c>
      <c r="S181" s="50">
        <v>1</v>
      </c>
      <c r="T181" s="50">
        <v>1</v>
      </c>
      <c r="U181" s="50">
        <v>1</v>
      </c>
      <c r="V181" s="50">
        <v>1</v>
      </c>
      <c r="W181" s="51">
        <v>1</v>
      </c>
      <c r="X181" s="51">
        <v>1</v>
      </c>
      <c r="Y181" s="50">
        <v>3</v>
      </c>
      <c r="Z181" s="50">
        <v>3</v>
      </c>
    </row>
    <row r="182" spans="1:26" ht="15" customHeight="1">
      <c r="A182" s="60"/>
      <c r="B182" s="48"/>
      <c r="C182" s="48"/>
      <c r="D182" s="48" t="s">
        <v>708</v>
      </c>
      <c r="E182" s="49">
        <v>1</v>
      </c>
      <c r="F182" s="49">
        <v>1</v>
      </c>
      <c r="G182" s="49">
        <v>2</v>
      </c>
      <c r="H182" s="49">
        <v>3</v>
      </c>
      <c r="I182" s="49">
        <v>3</v>
      </c>
      <c r="J182" s="49"/>
      <c r="K182" s="49"/>
      <c r="L182" s="49"/>
      <c r="M182" s="49">
        <v>1</v>
      </c>
      <c r="N182" s="49">
        <v>1</v>
      </c>
      <c r="O182" s="50">
        <v>3</v>
      </c>
      <c r="P182" s="50">
        <v>3</v>
      </c>
      <c r="Q182" s="50">
        <v>3</v>
      </c>
      <c r="R182" s="50">
        <v>3</v>
      </c>
      <c r="S182" s="50">
        <v>1</v>
      </c>
      <c r="T182" s="50">
        <v>1</v>
      </c>
      <c r="U182" s="50">
        <v>1</v>
      </c>
      <c r="V182" s="50">
        <v>1</v>
      </c>
      <c r="W182" s="50">
        <v>1</v>
      </c>
      <c r="X182" s="50">
        <v>1</v>
      </c>
      <c r="Y182" s="50">
        <v>3</v>
      </c>
      <c r="Z182" s="50">
        <v>3</v>
      </c>
    </row>
    <row r="183" spans="1:26" ht="15" customHeight="1">
      <c r="A183" s="60"/>
      <c r="B183" s="48"/>
      <c r="C183" s="48"/>
      <c r="D183" s="48" t="s">
        <v>709</v>
      </c>
      <c r="E183" s="49">
        <v>1</v>
      </c>
      <c r="F183" s="49">
        <v>1</v>
      </c>
      <c r="G183" s="49">
        <v>2</v>
      </c>
      <c r="H183" s="49">
        <v>3</v>
      </c>
      <c r="I183" s="49">
        <v>3</v>
      </c>
      <c r="J183" s="49"/>
      <c r="K183" s="49"/>
      <c r="L183" s="49"/>
      <c r="M183" s="49">
        <v>1</v>
      </c>
      <c r="N183" s="49">
        <v>1</v>
      </c>
      <c r="O183" s="50">
        <v>3</v>
      </c>
      <c r="P183" s="50">
        <v>3</v>
      </c>
      <c r="Q183" s="50">
        <v>3</v>
      </c>
      <c r="R183" s="50">
        <v>3</v>
      </c>
      <c r="S183" s="50">
        <v>1</v>
      </c>
      <c r="T183" s="50">
        <v>1</v>
      </c>
      <c r="U183" s="50">
        <v>1</v>
      </c>
      <c r="V183" s="50">
        <v>1</v>
      </c>
      <c r="W183" s="53">
        <v>1</v>
      </c>
      <c r="X183" s="53">
        <v>1</v>
      </c>
      <c r="Y183" s="50">
        <v>3</v>
      </c>
      <c r="Z183" s="50">
        <v>3</v>
      </c>
    </row>
    <row r="184" spans="1:26" ht="15" customHeight="1">
      <c r="A184" s="60"/>
      <c r="B184" s="48" t="s">
        <v>710</v>
      </c>
      <c r="C184" s="48"/>
      <c r="D184" s="48"/>
      <c r="E184" s="49"/>
      <c r="F184" s="49"/>
      <c r="G184" s="49"/>
      <c r="H184" s="49"/>
      <c r="I184" s="49"/>
      <c r="J184" s="49"/>
      <c r="K184" s="49"/>
      <c r="L184" s="49"/>
      <c r="M184" s="49"/>
      <c r="N184" s="49"/>
      <c r="O184" s="50"/>
      <c r="P184" s="50"/>
      <c r="Q184" s="50"/>
      <c r="R184" s="50"/>
      <c r="S184" s="50"/>
      <c r="T184" s="50"/>
      <c r="U184" s="50"/>
      <c r="V184" s="50"/>
      <c r="W184" s="53"/>
      <c r="X184" s="53"/>
      <c r="Y184" s="50"/>
      <c r="Z184" s="50"/>
    </row>
    <row r="185" spans="1:26" ht="15" customHeight="1">
      <c r="A185" s="60"/>
      <c r="B185" s="48"/>
      <c r="C185" s="48" t="s">
        <v>710</v>
      </c>
      <c r="D185" s="48" t="s">
        <v>711</v>
      </c>
      <c r="E185" s="49">
        <v>1</v>
      </c>
      <c r="F185" s="49">
        <v>1</v>
      </c>
      <c r="G185" s="49">
        <v>2</v>
      </c>
      <c r="H185" s="49">
        <v>3</v>
      </c>
      <c r="I185" s="49">
        <v>3</v>
      </c>
      <c r="J185" s="49">
        <v>1</v>
      </c>
      <c r="K185" s="49">
        <v>2</v>
      </c>
      <c r="L185" s="49">
        <v>2</v>
      </c>
      <c r="M185" s="49">
        <v>3</v>
      </c>
      <c r="N185" s="49">
        <v>3</v>
      </c>
      <c r="O185" s="50">
        <v>3</v>
      </c>
      <c r="P185" s="50">
        <v>3</v>
      </c>
      <c r="Q185" s="50">
        <v>3</v>
      </c>
      <c r="R185" s="50">
        <v>3</v>
      </c>
      <c r="S185" s="50">
        <v>2</v>
      </c>
      <c r="T185" s="50">
        <v>2</v>
      </c>
      <c r="U185" s="50">
        <v>2</v>
      </c>
      <c r="V185" s="50">
        <v>2</v>
      </c>
      <c r="W185" s="53">
        <v>2</v>
      </c>
      <c r="X185" s="53">
        <v>2</v>
      </c>
      <c r="Y185" s="50">
        <v>3</v>
      </c>
      <c r="Z185" s="50">
        <v>3</v>
      </c>
    </row>
    <row r="186" spans="1:26" ht="15" customHeight="1">
      <c r="A186" s="60"/>
      <c r="B186" s="48"/>
      <c r="C186" s="48"/>
      <c r="D186" s="48" t="s">
        <v>712</v>
      </c>
      <c r="E186" s="49">
        <v>1</v>
      </c>
      <c r="F186" s="49">
        <v>1</v>
      </c>
      <c r="G186" s="49">
        <v>2</v>
      </c>
      <c r="H186" s="49">
        <v>3</v>
      </c>
      <c r="I186" s="49">
        <v>3</v>
      </c>
      <c r="J186" s="49">
        <v>1</v>
      </c>
      <c r="K186" s="49">
        <v>2</v>
      </c>
      <c r="L186" s="49">
        <v>2</v>
      </c>
      <c r="M186" s="49">
        <v>3</v>
      </c>
      <c r="N186" s="49">
        <v>3</v>
      </c>
      <c r="O186" s="50">
        <v>3</v>
      </c>
      <c r="P186" s="50">
        <v>3</v>
      </c>
      <c r="Q186" s="50">
        <v>3</v>
      </c>
      <c r="R186" s="50">
        <v>3</v>
      </c>
      <c r="S186" s="50">
        <v>1</v>
      </c>
      <c r="T186" s="50">
        <v>1</v>
      </c>
      <c r="U186" s="50">
        <v>1</v>
      </c>
      <c r="V186" s="50">
        <v>1</v>
      </c>
      <c r="W186" s="53">
        <v>1</v>
      </c>
      <c r="X186" s="53">
        <v>1</v>
      </c>
      <c r="Y186" s="50">
        <v>3</v>
      </c>
      <c r="Z186" s="50">
        <v>3</v>
      </c>
    </row>
    <row r="187" spans="1:26" ht="15" customHeight="1">
      <c r="A187" s="60"/>
      <c r="B187" s="48"/>
      <c r="C187" s="48"/>
      <c r="D187" s="48" t="s">
        <v>713</v>
      </c>
      <c r="E187" s="49">
        <v>1</v>
      </c>
      <c r="F187" s="49">
        <v>1</v>
      </c>
      <c r="G187" s="49">
        <v>2</v>
      </c>
      <c r="H187" s="49">
        <v>3</v>
      </c>
      <c r="I187" s="49">
        <v>3</v>
      </c>
      <c r="J187" s="49">
        <v>1</v>
      </c>
      <c r="K187" s="49">
        <v>2</v>
      </c>
      <c r="L187" s="49">
        <v>2</v>
      </c>
      <c r="M187" s="49">
        <v>3</v>
      </c>
      <c r="N187" s="49">
        <v>3</v>
      </c>
      <c r="O187" s="50">
        <v>3</v>
      </c>
      <c r="P187" s="50">
        <v>3</v>
      </c>
      <c r="Q187" s="50">
        <v>3</v>
      </c>
      <c r="R187" s="50">
        <v>3</v>
      </c>
      <c r="S187" s="50">
        <v>1</v>
      </c>
      <c r="T187" s="50">
        <v>1</v>
      </c>
      <c r="U187" s="50">
        <v>1</v>
      </c>
      <c r="V187" s="50">
        <v>1</v>
      </c>
      <c r="W187" s="53">
        <v>1</v>
      </c>
      <c r="X187" s="53">
        <v>1</v>
      </c>
      <c r="Y187" s="50">
        <v>3</v>
      </c>
      <c r="Z187" s="50">
        <v>3</v>
      </c>
    </row>
    <row r="188" spans="1:26" ht="15" customHeight="1">
      <c r="A188" s="60"/>
      <c r="B188" s="48"/>
      <c r="C188" s="48"/>
      <c r="D188" s="48" t="s">
        <v>714</v>
      </c>
      <c r="E188" s="49">
        <v>1</v>
      </c>
      <c r="F188" s="49">
        <v>1</v>
      </c>
      <c r="G188" s="49">
        <v>2</v>
      </c>
      <c r="H188" s="49">
        <v>3</v>
      </c>
      <c r="I188" s="49">
        <v>3</v>
      </c>
      <c r="J188" s="49"/>
      <c r="K188" s="49"/>
      <c r="L188" s="49"/>
      <c r="M188" s="49">
        <v>1</v>
      </c>
      <c r="N188" s="49">
        <v>1</v>
      </c>
      <c r="O188" s="50">
        <v>3</v>
      </c>
      <c r="P188" s="50">
        <v>3</v>
      </c>
      <c r="Q188" s="50">
        <v>3</v>
      </c>
      <c r="R188" s="50">
        <v>3</v>
      </c>
      <c r="S188" s="50">
        <v>1</v>
      </c>
      <c r="T188" s="50">
        <v>1</v>
      </c>
      <c r="U188" s="50">
        <v>1</v>
      </c>
      <c r="V188" s="50">
        <v>1</v>
      </c>
      <c r="W188" s="50">
        <v>1</v>
      </c>
      <c r="X188" s="50">
        <v>1</v>
      </c>
      <c r="Y188" s="50">
        <v>3</v>
      </c>
      <c r="Z188" s="50">
        <v>3</v>
      </c>
    </row>
    <row r="189" spans="1:26" ht="15" customHeight="1">
      <c r="A189" s="60"/>
      <c r="B189" s="48"/>
      <c r="C189" s="48"/>
      <c r="D189" s="48" t="s">
        <v>715</v>
      </c>
      <c r="E189" s="49">
        <v>1</v>
      </c>
      <c r="F189" s="49">
        <v>1</v>
      </c>
      <c r="G189" s="49">
        <v>2</v>
      </c>
      <c r="H189" s="49">
        <v>3</v>
      </c>
      <c r="I189" s="49">
        <v>3</v>
      </c>
      <c r="J189" s="49"/>
      <c r="K189" s="49"/>
      <c r="L189" s="49"/>
      <c r="M189" s="49">
        <v>1</v>
      </c>
      <c r="N189" s="49">
        <v>1</v>
      </c>
      <c r="O189" s="50">
        <v>3</v>
      </c>
      <c r="P189" s="50">
        <v>3</v>
      </c>
      <c r="Q189" s="50">
        <v>3</v>
      </c>
      <c r="R189" s="50">
        <v>3</v>
      </c>
      <c r="S189" s="50">
        <v>1</v>
      </c>
      <c r="T189" s="50">
        <v>1</v>
      </c>
      <c r="U189" s="50">
        <v>1</v>
      </c>
      <c r="V189" s="50">
        <v>1</v>
      </c>
      <c r="W189" s="53">
        <v>1</v>
      </c>
      <c r="X189" s="53">
        <v>1</v>
      </c>
      <c r="Y189" s="50">
        <v>3</v>
      </c>
      <c r="Z189" s="50">
        <v>3</v>
      </c>
    </row>
    <row r="190" spans="1:26" ht="15" customHeight="1">
      <c r="A190" s="60"/>
      <c r="B190" s="48"/>
      <c r="C190" s="48"/>
      <c r="D190" s="48" t="s">
        <v>716</v>
      </c>
      <c r="E190" s="49">
        <v>1</v>
      </c>
      <c r="F190" s="49">
        <v>1</v>
      </c>
      <c r="G190" s="49">
        <v>2</v>
      </c>
      <c r="H190" s="49">
        <v>3</v>
      </c>
      <c r="I190" s="49">
        <v>3</v>
      </c>
      <c r="J190" s="49"/>
      <c r="K190" s="49"/>
      <c r="L190" s="49"/>
      <c r="M190" s="49">
        <v>1</v>
      </c>
      <c r="N190" s="49">
        <v>1</v>
      </c>
      <c r="O190" s="50">
        <v>3</v>
      </c>
      <c r="P190" s="50">
        <v>3</v>
      </c>
      <c r="Q190" s="50">
        <v>3</v>
      </c>
      <c r="R190" s="50">
        <v>3</v>
      </c>
      <c r="S190" s="50">
        <v>1</v>
      </c>
      <c r="T190" s="50">
        <v>1</v>
      </c>
      <c r="U190" s="50">
        <v>1</v>
      </c>
      <c r="V190" s="50">
        <v>1</v>
      </c>
      <c r="W190" s="53">
        <v>1</v>
      </c>
      <c r="X190" s="53">
        <v>1</v>
      </c>
      <c r="Y190" s="50">
        <v>3</v>
      </c>
      <c r="Z190" s="50">
        <v>3</v>
      </c>
    </row>
    <row r="191" spans="1:26" ht="15" customHeight="1">
      <c r="A191" s="60"/>
      <c r="B191" s="48"/>
      <c r="C191" s="48"/>
      <c r="D191" s="48" t="s">
        <v>717</v>
      </c>
      <c r="E191" s="49">
        <v>1</v>
      </c>
      <c r="F191" s="49">
        <v>1</v>
      </c>
      <c r="G191" s="49">
        <v>2</v>
      </c>
      <c r="H191" s="49">
        <v>3</v>
      </c>
      <c r="I191" s="49">
        <v>3</v>
      </c>
      <c r="J191" s="49"/>
      <c r="K191" s="49"/>
      <c r="L191" s="49"/>
      <c r="M191" s="49">
        <v>1</v>
      </c>
      <c r="N191" s="49">
        <v>1</v>
      </c>
      <c r="O191" s="50">
        <v>3</v>
      </c>
      <c r="P191" s="50">
        <v>3</v>
      </c>
      <c r="Q191" s="50">
        <v>3</v>
      </c>
      <c r="R191" s="50">
        <v>3</v>
      </c>
      <c r="S191" s="50">
        <v>1</v>
      </c>
      <c r="T191" s="50">
        <v>1</v>
      </c>
      <c r="U191" s="50">
        <v>1</v>
      </c>
      <c r="V191" s="50">
        <v>1</v>
      </c>
      <c r="W191" s="53">
        <v>1</v>
      </c>
      <c r="X191" s="53">
        <v>1</v>
      </c>
      <c r="Y191" s="50">
        <v>3</v>
      </c>
      <c r="Z191" s="50">
        <v>3</v>
      </c>
    </row>
    <row r="192" spans="1:26" ht="15" customHeight="1">
      <c r="A192" s="60"/>
      <c r="B192" s="48"/>
      <c r="C192" s="48"/>
      <c r="D192" s="48" t="s">
        <v>718</v>
      </c>
      <c r="E192" s="49">
        <v>1</v>
      </c>
      <c r="F192" s="49">
        <v>1</v>
      </c>
      <c r="G192" s="49">
        <v>2</v>
      </c>
      <c r="H192" s="49">
        <v>3</v>
      </c>
      <c r="I192" s="49">
        <v>3</v>
      </c>
      <c r="J192" s="49"/>
      <c r="K192" s="49"/>
      <c r="L192" s="49"/>
      <c r="M192" s="49">
        <v>1</v>
      </c>
      <c r="N192" s="49">
        <v>1</v>
      </c>
      <c r="O192" s="50">
        <v>3</v>
      </c>
      <c r="P192" s="50">
        <v>3</v>
      </c>
      <c r="Q192" s="50">
        <v>3</v>
      </c>
      <c r="R192" s="50">
        <v>3</v>
      </c>
      <c r="S192" s="50">
        <v>1</v>
      </c>
      <c r="T192" s="50">
        <v>1</v>
      </c>
      <c r="U192" s="50">
        <v>1</v>
      </c>
      <c r="V192" s="50">
        <v>1</v>
      </c>
      <c r="W192" s="53">
        <v>1</v>
      </c>
      <c r="X192" s="53">
        <v>1</v>
      </c>
      <c r="Y192" s="50">
        <v>3</v>
      </c>
      <c r="Z192" s="50">
        <v>3</v>
      </c>
    </row>
    <row r="193" spans="1:26" ht="15" customHeight="1">
      <c r="A193" s="60"/>
      <c r="B193" s="48"/>
      <c r="C193" s="48"/>
      <c r="D193" s="48" t="s">
        <v>719</v>
      </c>
      <c r="E193" s="49">
        <v>1</v>
      </c>
      <c r="F193" s="49">
        <v>1</v>
      </c>
      <c r="G193" s="49">
        <v>2</v>
      </c>
      <c r="H193" s="49">
        <v>3</v>
      </c>
      <c r="I193" s="49">
        <v>3</v>
      </c>
      <c r="J193" s="49"/>
      <c r="K193" s="49"/>
      <c r="L193" s="49"/>
      <c r="M193" s="49">
        <v>1</v>
      </c>
      <c r="N193" s="49">
        <v>1</v>
      </c>
      <c r="O193" s="50">
        <v>3</v>
      </c>
      <c r="P193" s="50">
        <v>3</v>
      </c>
      <c r="Q193" s="50">
        <v>3</v>
      </c>
      <c r="R193" s="50">
        <v>3</v>
      </c>
      <c r="S193" s="50">
        <v>1</v>
      </c>
      <c r="T193" s="50">
        <v>1</v>
      </c>
      <c r="U193" s="50">
        <v>1</v>
      </c>
      <c r="V193" s="50">
        <v>1</v>
      </c>
      <c r="W193" s="53">
        <v>1</v>
      </c>
      <c r="X193" s="53">
        <v>1</v>
      </c>
      <c r="Y193" s="50">
        <v>3</v>
      </c>
      <c r="Z193" s="50">
        <v>3</v>
      </c>
    </row>
    <row r="194" spans="1:26" ht="15" customHeight="1">
      <c r="A194" s="60"/>
      <c r="B194" s="48" t="s">
        <v>720</v>
      </c>
      <c r="C194" s="48"/>
      <c r="D194" s="48"/>
      <c r="E194" s="49"/>
      <c r="F194" s="49"/>
      <c r="G194" s="49"/>
      <c r="H194" s="49"/>
      <c r="I194" s="49"/>
      <c r="J194" s="49"/>
      <c r="K194" s="49"/>
      <c r="L194" s="49"/>
      <c r="M194" s="49"/>
      <c r="N194" s="49"/>
      <c r="O194" s="50"/>
      <c r="P194" s="50"/>
      <c r="Q194" s="50"/>
      <c r="R194" s="50"/>
      <c r="S194" s="50"/>
      <c r="T194" s="50"/>
      <c r="U194" s="50"/>
      <c r="V194" s="50"/>
      <c r="W194" s="53"/>
      <c r="X194" s="53"/>
      <c r="Y194" s="50"/>
      <c r="Z194" s="50"/>
    </row>
    <row r="195" spans="1:26" ht="15" customHeight="1">
      <c r="A195" s="60"/>
      <c r="B195" s="48"/>
      <c r="C195" s="48" t="s">
        <v>720</v>
      </c>
      <c r="D195" s="48" t="s">
        <v>721</v>
      </c>
      <c r="E195" s="49">
        <v>1</v>
      </c>
      <c r="F195" s="49">
        <v>1</v>
      </c>
      <c r="G195" s="49">
        <v>2</v>
      </c>
      <c r="H195" s="49">
        <v>3</v>
      </c>
      <c r="I195" s="49">
        <v>3</v>
      </c>
      <c r="J195" s="49">
        <v>1</v>
      </c>
      <c r="K195" s="49">
        <v>2</v>
      </c>
      <c r="L195" s="49">
        <v>2</v>
      </c>
      <c r="M195" s="49">
        <v>3</v>
      </c>
      <c r="N195" s="49">
        <v>3</v>
      </c>
      <c r="O195" s="50">
        <v>3</v>
      </c>
      <c r="P195" s="50">
        <v>3</v>
      </c>
      <c r="Q195" s="50">
        <v>3</v>
      </c>
      <c r="R195" s="50">
        <v>3</v>
      </c>
      <c r="S195" s="50">
        <v>2</v>
      </c>
      <c r="T195" s="50">
        <v>2</v>
      </c>
      <c r="U195" s="50">
        <v>2</v>
      </c>
      <c r="V195" s="50">
        <v>2</v>
      </c>
      <c r="W195" s="53">
        <v>2</v>
      </c>
      <c r="X195" s="53">
        <v>2</v>
      </c>
      <c r="Y195" s="50">
        <v>3</v>
      </c>
      <c r="Z195" s="50">
        <v>3</v>
      </c>
    </row>
    <row r="196" spans="1:26" ht="15" customHeight="1">
      <c r="A196" s="60"/>
      <c r="B196" s="48"/>
      <c r="C196" s="48"/>
      <c r="D196" s="48" t="s">
        <v>722</v>
      </c>
      <c r="E196" s="49">
        <v>1</v>
      </c>
      <c r="F196" s="49">
        <v>1</v>
      </c>
      <c r="G196" s="49">
        <v>2</v>
      </c>
      <c r="H196" s="49">
        <v>3</v>
      </c>
      <c r="I196" s="49">
        <v>3</v>
      </c>
      <c r="J196" s="49">
        <v>1</v>
      </c>
      <c r="K196" s="49">
        <v>2</v>
      </c>
      <c r="L196" s="49">
        <v>2</v>
      </c>
      <c r="M196" s="49">
        <v>3</v>
      </c>
      <c r="N196" s="49">
        <v>3</v>
      </c>
      <c r="O196" s="50">
        <v>3</v>
      </c>
      <c r="P196" s="50">
        <v>3</v>
      </c>
      <c r="Q196" s="50">
        <v>3</v>
      </c>
      <c r="R196" s="50">
        <v>3</v>
      </c>
      <c r="S196" s="50">
        <v>1</v>
      </c>
      <c r="T196" s="50">
        <v>1</v>
      </c>
      <c r="U196" s="50">
        <v>1</v>
      </c>
      <c r="V196" s="50">
        <v>1</v>
      </c>
      <c r="W196" s="53">
        <v>1</v>
      </c>
      <c r="X196" s="53">
        <v>1</v>
      </c>
      <c r="Y196" s="50">
        <v>3</v>
      </c>
      <c r="Z196" s="50">
        <v>3</v>
      </c>
    </row>
    <row r="197" spans="1:26" ht="15" customHeight="1">
      <c r="A197" s="60"/>
      <c r="B197" s="48"/>
      <c r="C197" s="48"/>
      <c r="D197" s="48" t="s">
        <v>723</v>
      </c>
      <c r="E197" s="49">
        <v>1</v>
      </c>
      <c r="F197" s="49">
        <v>1</v>
      </c>
      <c r="G197" s="49">
        <v>2</v>
      </c>
      <c r="H197" s="49">
        <v>3</v>
      </c>
      <c r="I197" s="49">
        <v>3</v>
      </c>
      <c r="J197" s="49">
        <v>1</v>
      </c>
      <c r="K197" s="49">
        <v>2</v>
      </c>
      <c r="L197" s="49">
        <v>2</v>
      </c>
      <c r="M197" s="49">
        <v>3</v>
      </c>
      <c r="N197" s="49">
        <v>3</v>
      </c>
      <c r="O197" s="50">
        <v>3</v>
      </c>
      <c r="P197" s="50">
        <v>3</v>
      </c>
      <c r="Q197" s="50">
        <v>3</v>
      </c>
      <c r="R197" s="50">
        <v>3</v>
      </c>
      <c r="S197" s="50">
        <v>1</v>
      </c>
      <c r="T197" s="50">
        <v>1</v>
      </c>
      <c r="U197" s="50">
        <v>1</v>
      </c>
      <c r="V197" s="50">
        <v>1</v>
      </c>
      <c r="W197" s="50">
        <v>1</v>
      </c>
      <c r="X197" s="50">
        <v>1</v>
      </c>
      <c r="Y197" s="50">
        <v>3</v>
      </c>
      <c r="Z197" s="50">
        <v>3</v>
      </c>
    </row>
    <row r="198" spans="1:26" ht="15" customHeight="1">
      <c r="A198" s="60"/>
      <c r="B198" s="48"/>
      <c r="C198" s="48"/>
      <c r="D198" s="48" t="s">
        <v>724</v>
      </c>
      <c r="E198" s="57">
        <v>1</v>
      </c>
      <c r="F198" s="57">
        <v>1</v>
      </c>
      <c r="G198" s="57">
        <v>2</v>
      </c>
      <c r="H198" s="57">
        <v>3</v>
      </c>
      <c r="I198" s="57">
        <v>3</v>
      </c>
      <c r="J198" s="57"/>
      <c r="K198" s="57"/>
      <c r="L198" s="57"/>
      <c r="M198" s="57">
        <v>1</v>
      </c>
      <c r="N198" s="57">
        <v>1</v>
      </c>
      <c r="O198" s="54">
        <v>3</v>
      </c>
      <c r="P198" s="54">
        <v>3</v>
      </c>
      <c r="Q198" s="54">
        <v>3</v>
      </c>
      <c r="R198" s="54">
        <v>3</v>
      </c>
      <c r="S198" s="54">
        <v>1</v>
      </c>
      <c r="T198" s="54">
        <v>1</v>
      </c>
      <c r="U198" s="54">
        <v>1</v>
      </c>
      <c r="V198" s="54">
        <v>1</v>
      </c>
      <c r="W198" s="55">
        <v>1</v>
      </c>
      <c r="X198" s="55">
        <v>1</v>
      </c>
      <c r="Y198" s="54">
        <v>3</v>
      </c>
      <c r="Z198" s="54">
        <v>3</v>
      </c>
    </row>
    <row r="199" spans="1:26" ht="15" customHeight="1">
      <c r="A199" s="60"/>
      <c r="B199" s="48"/>
      <c r="C199" s="48"/>
      <c r="D199" s="48" t="s">
        <v>725</v>
      </c>
      <c r="E199" s="57">
        <v>1</v>
      </c>
      <c r="F199" s="57">
        <v>1</v>
      </c>
      <c r="G199" s="57">
        <v>2</v>
      </c>
      <c r="H199" s="57">
        <v>3</v>
      </c>
      <c r="I199" s="57">
        <v>3</v>
      </c>
      <c r="J199" s="57"/>
      <c r="K199" s="57"/>
      <c r="L199" s="57"/>
      <c r="M199" s="57">
        <v>1</v>
      </c>
      <c r="N199" s="57">
        <v>1</v>
      </c>
      <c r="O199" s="54">
        <v>3</v>
      </c>
      <c r="P199" s="54">
        <v>3</v>
      </c>
      <c r="Q199" s="54">
        <v>3</v>
      </c>
      <c r="R199" s="54">
        <v>3</v>
      </c>
      <c r="S199" s="54">
        <v>1</v>
      </c>
      <c r="T199" s="54">
        <v>1</v>
      </c>
      <c r="U199" s="54">
        <v>1</v>
      </c>
      <c r="V199" s="54">
        <v>1</v>
      </c>
      <c r="W199" s="55">
        <v>1</v>
      </c>
      <c r="X199" s="55">
        <v>1</v>
      </c>
      <c r="Y199" s="54">
        <v>3</v>
      </c>
      <c r="Z199" s="54">
        <v>3</v>
      </c>
    </row>
    <row r="200" spans="1:26" ht="15" customHeight="1">
      <c r="A200" s="60"/>
      <c r="B200" s="48"/>
      <c r="C200" s="48"/>
      <c r="D200" s="48" t="s">
        <v>726</v>
      </c>
      <c r="E200" s="57">
        <v>1</v>
      </c>
      <c r="F200" s="57">
        <v>1</v>
      </c>
      <c r="G200" s="57">
        <v>2</v>
      </c>
      <c r="H200" s="57">
        <v>3</v>
      </c>
      <c r="I200" s="57">
        <v>3</v>
      </c>
      <c r="J200" s="57"/>
      <c r="K200" s="57"/>
      <c r="L200" s="57"/>
      <c r="M200" s="57">
        <v>1</v>
      </c>
      <c r="N200" s="57">
        <v>1</v>
      </c>
      <c r="O200" s="54">
        <v>3</v>
      </c>
      <c r="P200" s="54">
        <v>3</v>
      </c>
      <c r="Q200" s="54">
        <v>3</v>
      </c>
      <c r="R200" s="54">
        <v>3</v>
      </c>
      <c r="S200" s="54">
        <v>1</v>
      </c>
      <c r="T200" s="54">
        <v>1</v>
      </c>
      <c r="U200" s="54">
        <v>1</v>
      </c>
      <c r="V200" s="54">
        <v>1</v>
      </c>
      <c r="W200" s="55">
        <v>1</v>
      </c>
      <c r="X200" s="55">
        <v>1</v>
      </c>
      <c r="Y200" s="54">
        <v>3</v>
      </c>
      <c r="Z200" s="54">
        <v>3</v>
      </c>
    </row>
    <row r="201" spans="1:26" ht="15" customHeight="1">
      <c r="A201" s="60"/>
      <c r="B201" s="48" t="s">
        <v>727</v>
      </c>
      <c r="C201" s="48"/>
      <c r="D201" s="48"/>
      <c r="E201" s="57"/>
      <c r="F201" s="57"/>
      <c r="G201" s="57"/>
      <c r="H201" s="57"/>
      <c r="I201" s="57"/>
      <c r="J201" s="57"/>
      <c r="K201" s="57"/>
      <c r="L201" s="57"/>
      <c r="M201" s="57"/>
      <c r="N201" s="57"/>
      <c r="O201" s="54"/>
      <c r="P201" s="54"/>
      <c r="Q201" s="54"/>
      <c r="R201" s="54"/>
      <c r="S201" s="54"/>
      <c r="T201" s="54"/>
      <c r="U201" s="54"/>
      <c r="V201" s="54"/>
      <c r="W201" s="55"/>
      <c r="X201" s="55"/>
      <c r="Y201" s="54"/>
      <c r="Z201" s="54"/>
    </row>
    <row r="202" spans="1:26" ht="15" customHeight="1">
      <c r="A202" s="60"/>
      <c r="B202" s="48"/>
      <c r="C202" s="48" t="s">
        <v>727</v>
      </c>
      <c r="D202" s="48" t="s">
        <v>728</v>
      </c>
      <c r="E202" s="57">
        <v>1</v>
      </c>
      <c r="F202" s="57">
        <v>1</v>
      </c>
      <c r="G202" s="57">
        <v>2</v>
      </c>
      <c r="H202" s="57">
        <v>3</v>
      </c>
      <c r="I202" s="57">
        <v>3</v>
      </c>
      <c r="J202" s="57">
        <v>1</v>
      </c>
      <c r="K202" s="57">
        <v>1</v>
      </c>
      <c r="L202" s="57">
        <v>2</v>
      </c>
      <c r="M202" s="57">
        <v>3</v>
      </c>
      <c r="N202" s="57">
        <v>3</v>
      </c>
      <c r="O202" s="54">
        <v>3</v>
      </c>
      <c r="P202" s="54">
        <v>3</v>
      </c>
      <c r="Q202" s="54">
        <v>3</v>
      </c>
      <c r="R202" s="54">
        <v>3</v>
      </c>
      <c r="S202" s="54">
        <v>1</v>
      </c>
      <c r="T202" s="54">
        <v>1</v>
      </c>
      <c r="U202" s="54">
        <v>1</v>
      </c>
      <c r="V202" s="54">
        <v>1</v>
      </c>
      <c r="W202" s="55">
        <v>1</v>
      </c>
      <c r="X202" s="55">
        <v>1</v>
      </c>
      <c r="Y202" s="54">
        <v>3</v>
      </c>
      <c r="Z202" s="54">
        <v>3</v>
      </c>
    </row>
    <row r="203" spans="1:26" ht="15" customHeight="1">
      <c r="A203" s="60"/>
      <c r="B203" s="48"/>
      <c r="C203" s="48"/>
      <c r="D203" s="48" t="s">
        <v>729</v>
      </c>
      <c r="E203" s="57">
        <v>1</v>
      </c>
      <c r="F203" s="57">
        <v>1</v>
      </c>
      <c r="G203" s="57">
        <v>2</v>
      </c>
      <c r="H203" s="57">
        <v>3</v>
      </c>
      <c r="I203" s="57">
        <v>3</v>
      </c>
      <c r="J203" s="57"/>
      <c r="K203" s="57"/>
      <c r="L203" s="57"/>
      <c r="M203" s="57">
        <v>1</v>
      </c>
      <c r="N203" s="57">
        <v>1</v>
      </c>
      <c r="O203" s="54">
        <v>3</v>
      </c>
      <c r="P203" s="54">
        <v>3</v>
      </c>
      <c r="Q203" s="54">
        <v>3</v>
      </c>
      <c r="R203" s="54">
        <v>3</v>
      </c>
      <c r="S203" s="54">
        <v>1</v>
      </c>
      <c r="T203" s="54">
        <v>1</v>
      </c>
      <c r="U203" s="54">
        <v>1</v>
      </c>
      <c r="V203" s="54">
        <v>1</v>
      </c>
      <c r="W203" s="55">
        <v>1</v>
      </c>
      <c r="X203" s="55">
        <v>1</v>
      </c>
      <c r="Y203" s="54">
        <v>3</v>
      </c>
      <c r="Z203" s="54">
        <v>3</v>
      </c>
    </row>
    <row r="204" spans="1:26" ht="15" customHeight="1">
      <c r="A204" s="60"/>
      <c r="B204" s="48"/>
      <c r="C204" s="48"/>
      <c r="D204" s="48" t="s">
        <v>730</v>
      </c>
      <c r="E204" s="58">
        <v>1</v>
      </c>
      <c r="F204" s="58">
        <v>1</v>
      </c>
      <c r="G204" s="58">
        <v>2</v>
      </c>
      <c r="H204" s="58">
        <v>3</v>
      </c>
      <c r="I204" s="58">
        <v>3</v>
      </c>
      <c r="J204" s="58"/>
      <c r="K204" s="58"/>
      <c r="L204" s="58"/>
      <c r="M204" s="58">
        <v>1</v>
      </c>
      <c r="N204" s="58">
        <v>1</v>
      </c>
      <c r="O204" s="56">
        <v>3</v>
      </c>
      <c r="P204" s="56">
        <v>3</v>
      </c>
      <c r="Q204" s="56">
        <v>3</v>
      </c>
      <c r="R204" s="56">
        <v>3</v>
      </c>
      <c r="S204" s="53">
        <v>1</v>
      </c>
      <c r="T204" s="53">
        <v>1</v>
      </c>
      <c r="U204" s="53">
        <v>1</v>
      </c>
      <c r="V204" s="53">
        <v>1</v>
      </c>
      <c r="W204" s="56">
        <v>1</v>
      </c>
      <c r="X204" s="56">
        <v>1</v>
      </c>
      <c r="Y204" s="54">
        <v>3</v>
      </c>
      <c r="Z204" s="54">
        <v>3</v>
      </c>
    </row>
    <row r="205" spans="1:26" ht="15" customHeight="1">
      <c r="A205" s="60"/>
      <c r="B205" s="48"/>
      <c r="C205" s="48"/>
      <c r="D205" s="48" t="s">
        <v>731</v>
      </c>
      <c r="E205" s="49">
        <v>1</v>
      </c>
      <c r="F205" s="49">
        <v>1</v>
      </c>
      <c r="G205" s="49">
        <v>2</v>
      </c>
      <c r="H205" s="49">
        <v>3</v>
      </c>
      <c r="I205" s="49">
        <v>3</v>
      </c>
      <c r="J205" s="49"/>
      <c r="K205" s="49"/>
      <c r="L205" s="49"/>
      <c r="M205" s="49">
        <v>1</v>
      </c>
      <c r="N205" s="49">
        <v>1</v>
      </c>
      <c r="O205" s="50">
        <v>3</v>
      </c>
      <c r="P205" s="50">
        <v>3</v>
      </c>
      <c r="Q205" s="50">
        <v>3</v>
      </c>
      <c r="R205" s="50">
        <v>3</v>
      </c>
      <c r="S205" s="50">
        <v>1</v>
      </c>
      <c r="T205" s="50">
        <v>1</v>
      </c>
      <c r="U205" s="50">
        <v>1</v>
      </c>
      <c r="V205" s="50">
        <v>1</v>
      </c>
      <c r="W205" s="51">
        <v>1</v>
      </c>
      <c r="X205" s="51">
        <v>1</v>
      </c>
      <c r="Y205" s="50">
        <v>3</v>
      </c>
      <c r="Z205" s="50">
        <v>3</v>
      </c>
    </row>
    <row r="206" spans="1:26" ht="15" customHeight="1">
      <c r="A206" s="60"/>
      <c r="B206" s="48" t="s">
        <v>732</v>
      </c>
      <c r="C206" s="48"/>
      <c r="D206" s="48"/>
      <c r="E206" s="49"/>
      <c r="F206" s="49"/>
      <c r="G206" s="49"/>
      <c r="H206" s="49"/>
      <c r="I206" s="49"/>
      <c r="J206" s="49"/>
      <c r="K206" s="49"/>
      <c r="L206" s="49"/>
      <c r="M206" s="49"/>
      <c r="N206" s="49"/>
      <c r="O206" s="50"/>
      <c r="P206" s="50"/>
      <c r="Q206" s="50"/>
      <c r="R206" s="50"/>
      <c r="S206" s="50"/>
      <c r="T206" s="50"/>
      <c r="U206" s="50"/>
      <c r="V206" s="50"/>
      <c r="W206" s="53"/>
      <c r="X206" s="53"/>
      <c r="Y206" s="50"/>
      <c r="Z206" s="50"/>
    </row>
    <row r="207" spans="1:26" ht="15" customHeight="1">
      <c r="A207" s="60"/>
      <c r="B207" s="48"/>
      <c r="C207" s="48" t="s">
        <v>732</v>
      </c>
      <c r="D207" s="48" t="s">
        <v>733</v>
      </c>
      <c r="E207" s="49">
        <v>1</v>
      </c>
      <c r="F207" s="49">
        <v>2</v>
      </c>
      <c r="G207" s="49">
        <v>2</v>
      </c>
      <c r="H207" s="49">
        <v>3</v>
      </c>
      <c r="I207" s="49">
        <v>3</v>
      </c>
      <c r="J207" s="49">
        <v>1</v>
      </c>
      <c r="K207" s="49">
        <v>2</v>
      </c>
      <c r="L207" s="49">
        <v>2</v>
      </c>
      <c r="M207" s="49">
        <v>3</v>
      </c>
      <c r="N207" s="49">
        <v>3</v>
      </c>
      <c r="O207" s="50">
        <v>3</v>
      </c>
      <c r="P207" s="50">
        <v>3</v>
      </c>
      <c r="Q207" s="50">
        <v>3</v>
      </c>
      <c r="R207" s="50">
        <v>3</v>
      </c>
      <c r="S207" s="50">
        <v>2</v>
      </c>
      <c r="T207" s="50">
        <v>2</v>
      </c>
      <c r="U207" s="50">
        <v>2</v>
      </c>
      <c r="V207" s="50">
        <v>2</v>
      </c>
      <c r="W207" s="53">
        <v>2</v>
      </c>
      <c r="X207" s="53">
        <v>2</v>
      </c>
      <c r="Y207" s="50">
        <v>3</v>
      </c>
      <c r="Z207" s="50">
        <v>3</v>
      </c>
    </row>
    <row r="208" spans="1:26" ht="15" customHeight="1">
      <c r="A208" s="60"/>
      <c r="B208" s="48"/>
      <c r="C208" s="48"/>
      <c r="D208" s="48" t="s">
        <v>734</v>
      </c>
      <c r="E208" s="49">
        <v>1</v>
      </c>
      <c r="F208" s="49">
        <v>1</v>
      </c>
      <c r="G208" s="49">
        <v>2</v>
      </c>
      <c r="H208" s="49">
        <v>3</v>
      </c>
      <c r="I208" s="49">
        <v>3</v>
      </c>
      <c r="J208" s="49"/>
      <c r="K208" s="49"/>
      <c r="L208" s="49"/>
      <c r="M208" s="49">
        <v>1</v>
      </c>
      <c r="N208" s="49">
        <v>1</v>
      </c>
      <c r="O208" s="50">
        <v>3</v>
      </c>
      <c r="P208" s="50">
        <v>3</v>
      </c>
      <c r="Q208" s="50">
        <v>3</v>
      </c>
      <c r="R208" s="50">
        <v>3</v>
      </c>
      <c r="S208" s="50">
        <v>1</v>
      </c>
      <c r="T208" s="50">
        <v>1</v>
      </c>
      <c r="U208" s="50">
        <v>1</v>
      </c>
      <c r="V208" s="50">
        <v>1</v>
      </c>
      <c r="W208" s="53">
        <v>1</v>
      </c>
      <c r="X208" s="53">
        <v>1</v>
      </c>
      <c r="Y208" s="50">
        <v>3</v>
      </c>
      <c r="Z208" s="50">
        <v>3</v>
      </c>
    </row>
    <row r="209" spans="1:26" ht="15" customHeight="1">
      <c r="A209" s="60"/>
      <c r="B209" s="48"/>
      <c r="C209" s="48"/>
      <c r="D209" s="48" t="s">
        <v>735</v>
      </c>
      <c r="E209" s="49">
        <v>1</v>
      </c>
      <c r="F209" s="49">
        <v>1</v>
      </c>
      <c r="G209" s="49">
        <v>2</v>
      </c>
      <c r="H209" s="49">
        <v>3</v>
      </c>
      <c r="I209" s="49">
        <v>3</v>
      </c>
      <c r="J209" s="49"/>
      <c r="K209" s="49"/>
      <c r="L209" s="49"/>
      <c r="M209" s="49">
        <v>1</v>
      </c>
      <c r="N209" s="49">
        <v>1</v>
      </c>
      <c r="O209" s="50">
        <v>3</v>
      </c>
      <c r="P209" s="50">
        <v>3</v>
      </c>
      <c r="Q209" s="50">
        <v>3</v>
      </c>
      <c r="R209" s="50">
        <v>3</v>
      </c>
      <c r="S209" s="50">
        <v>1</v>
      </c>
      <c r="T209" s="50">
        <v>1</v>
      </c>
      <c r="U209" s="50">
        <v>1</v>
      </c>
      <c r="V209" s="50">
        <v>1</v>
      </c>
      <c r="W209" s="53">
        <v>1</v>
      </c>
      <c r="X209" s="53">
        <v>1</v>
      </c>
      <c r="Y209" s="50">
        <v>3</v>
      </c>
      <c r="Z209" s="50">
        <v>3</v>
      </c>
    </row>
    <row r="210" spans="1:26" ht="15" customHeight="1">
      <c r="A210" s="60"/>
      <c r="B210" s="48"/>
      <c r="C210" s="48"/>
      <c r="D210" s="48" t="s">
        <v>736</v>
      </c>
      <c r="E210" s="49">
        <v>1</v>
      </c>
      <c r="F210" s="49">
        <v>1</v>
      </c>
      <c r="G210" s="49">
        <v>2</v>
      </c>
      <c r="H210" s="49">
        <v>3</v>
      </c>
      <c r="I210" s="49">
        <v>3</v>
      </c>
      <c r="J210" s="49"/>
      <c r="K210" s="49"/>
      <c r="L210" s="49"/>
      <c r="M210" s="49">
        <v>1</v>
      </c>
      <c r="N210" s="49">
        <v>1</v>
      </c>
      <c r="O210" s="50">
        <v>3</v>
      </c>
      <c r="P210" s="50">
        <v>3</v>
      </c>
      <c r="Q210" s="50">
        <v>3</v>
      </c>
      <c r="R210" s="50">
        <v>3</v>
      </c>
      <c r="S210" s="50">
        <v>1</v>
      </c>
      <c r="T210" s="50">
        <v>1</v>
      </c>
      <c r="U210" s="50">
        <v>1</v>
      </c>
      <c r="V210" s="50">
        <v>1</v>
      </c>
      <c r="W210" s="53">
        <v>1</v>
      </c>
      <c r="X210" s="53">
        <v>1</v>
      </c>
      <c r="Y210" s="50">
        <v>3</v>
      </c>
      <c r="Z210" s="50">
        <v>3</v>
      </c>
    </row>
    <row r="211" spans="1:26">
      <c r="B211" s="48"/>
      <c r="C211" s="48"/>
      <c r="D211" s="48" t="s">
        <v>737</v>
      </c>
      <c r="E211" s="49">
        <v>1</v>
      </c>
      <c r="F211" s="49">
        <v>1</v>
      </c>
      <c r="G211" s="49">
        <v>2</v>
      </c>
      <c r="H211" s="49">
        <v>3</v>
      </c>
      <c r="I211" s="49">
        <v>3</v>
      </c>
      <c r="J211" s="49"/>
      <c r="K211" s="49"/>
      <c r="L211" s="49"/>
      <c r="M211" s="49">
        <v>1</v>
      </c>
      <c r="N211" s="49">
        <v>1</v>
      </c>
      <c r="O211" s="50">
        <v>3</v>
      </c>
      <c r="P211" s="50">
        <v>3</v>
      </c>
      <c r="Q211" s="50">
        <v>3</v>
      </c>
      <c r="R211" s="50">
        <v>3</v>
      </c>
      <c r="S211" s="50">
        <v>1</v>
      </c>
      <c r="T211" s="50">
        <v>1</v>
      </c>
      <c r="U211" s="50">
        <v>1</v>
      </c>
      <c r="V211" s="50">
        <v>1</v>
      </c>
      <c r="W211" s="53">
        <v>1</v>
      </c>
      <c r="X211" s="53">
        <v>1</v>
      </c>
      <c r="Y211" s="50">
        <v>3</v>
      </c>
      <c r="Z211" s="50">
        <v>3</v>
      </c>
    </row>
    <row r="212" spans="1:26">
      <c r="B212" s="48" t="s">
        <v>220</v>
      </c>
      <c r="C212" s="48"/>
      <c r="D212" s="48"/>
      <c r="E212" s="49"/>
      <c r="F212" s="49"/>
      <c r="G212" s="49"/>
      <c r="H212" s="49"/>
      <c r="I212" s="49"/>
      <c r="J212" s="49"/>
      <c r="K212" s="49"/>
      <c r="L212" s="49"/>
      <c r="M212" s="49"/>
      <c r="N212" s="49"/>
      <c r="O212" s="50"/>
      <c r="P212" s="50"/>
      <c r="Q212" s="50"/>
      <c r="R212" s="50"/>
      <c r="S212" s="50"/>
      <c r="T212" s="50"/>
      <c r="U212" s="50"/>
      <c r="V212" s="50"/>
      <c r="W212" s="53"/>
      <c r="X212" s="53"/>
      <c r="Y212" s="50"/>
      <c r="Z212" s="50"/>
    </row>
    <row r="213" spans="1:26">
      <c r="B213" s="48"/>
      <c r="C213" s="48" t="s">
        <v>220</v>
      </c>
      <c r="D213" s="48" t="s">
        <v>738</v>
      </c>
      <c r="E213" s="49">
        <v>1</v>
      </c>
      <c r="F213" s="49">
        <v>1</v>
      </c>
      <c r="G213" s="49">
        <v>2</v>
      </c>
      <c r="H213" s="49">
        <v>3</v>
      </c>
      <c r="I213" s="49">
        <v>3</v>
      </c>
      <c r="J213" s="49">
        <v>1</v>
      </c>
      <c r="K213" s="49">
        <v>2</v>
      </c>
      <c r="L213" s="49">
        <v>2</v>
      </c>
      <c r="M213" s="49">
        <v>3</v>
      </c>
      <c r="N213" s="49">
        <v>3</v>
      </c>
      <c r="O213" s="50">
        <v>3</v>
      </c>
      <c r="P213" s="50">
        <v>3</v>
      </c>
      <c r="Q213" s="50">
        <v>3</v>
      </c>
      <c r="R213" s="50">
        <v>3</v>
      </c>
      <c r="S213" s="50">
        <v>1</v>
      </c>
      <c r="T213" s="50">
        <v>1</v>
      </c>
      <c r="U213" s="50">
        <v>1</v>
      </c>
      <c r="V213" s="50">
        <v>1</v>
      </c>
      <c r="W213" s="53">
        <v>1</v>
      </c>
      <c r="X213" s="53">
        <v>1</v>
      </c>
      <c r="Y213" s="50">
        <v>3</v>
      </c>
      <c r="Z213" s="50">
        <v>3</v>
      </c>
    </row>
    <row r="214" spans="1:26">
      <c r="B214" s="48"/>
      <c r="C214" s="48"/>
      <c r="D214" s="48" t="s">
        <v>739</v>
      </c>
      <c r="E214" s="49">
        <v>1</v>
      </c>
      <c r="F214" s="49">
        <v>1</v>
      </c>
      <c r="G214" s="49">
        <v>2</v>
      </c>
      <c r="H214" s="49">
        <v>3</v>
      </c>
      <c r="I214" s="49">
        <v>3</v>
      </c>
      <c r="J214" s="49"/>
      <c r="K214" s="49"/>
      <c r="L214" s="49"/>
      <c r="M214" s="49">
        <v>1</v>
      </c>
      <c r="N214" s="49">
        <v>3</v>
      </c>
      <c r="O214" s="50">
        <v>3</v>
      </c>
      <c r="P214" s="50">
        <v>3</v>
      </c>
      <c r="Q214" s="50">
        <v>3</v>
      </c>
      <c r="R214" s="50">
        <v>3</v>
      </c>
      <c r="S214" s="50">
        <v>1</v>
      </c>
      <c r="T214" s="50">
        <v>1</v>
      </c>
      <c r="U214" s="50">
        <v>1</v>
      </c>
      <c r="V214" s="50">
        <v>1</v>
      </c>
      <c r="W214" s="53">
        <v>1</v>
      </c>
      <c r="X214" s="53">
        <v>1</v>
      </c>
      <c r="Y214" s="50">
        <v>3</v>
      </c>
      <c r="Z214" s="50">
        <v>3</v>
      </c>
    </row>
    <row r="215" spans="1:26">
      <c r="B215" s="48"/>
      <c r="C215" s="48"/>
      <c r="D215" s="48" t="s">
        <v>740</v>
      </c>
      <c r="E215" s="49">
        <v>1</v>
      </c>
      <c r="F215" s="49">
        <v>1</v>
      </c>
      <c r="G215" s="49">
        <v>2</v>
      </c>
      <c r="H215" s="49">
        <v>3</v>
      </c>
      <c r="I215" s="49">
        <v>3</v>
      </c>
      <c r="J215" s="49"/>
      <c r="K215" s="49"/>
      <c r="L215" s="49"/>
      <c r="M215" s="49">
        <v>1</v>
      </c>
      <c r="N215" s="49">
        <v>1</v>
      </c>
      <c r="O215" s="50">
        <v>3</v>
      </c>
      <c r="P215" s="50">
        <v>3</v>
      </c>
      <c r="Q215" s="50">
        <v>3</v>
      </c>
      <c r="R215" s="50">
        <v>3</v>
      </c>
      <c r="S215" s="50">
        <v>1</v>
      </c>
      <c r="T215" s="50">
        <v>1</v>
      </c>
      <c r="U215" s="50">
        <v>1</v>
      </c>
      <c r="V215" s="50">
        <v>1</v>
      </c>
      <c r="W215" s="53">
        <v>1</v>
      </c>
      <c r="X215" s="53">
        <v>1</v>
      </c>
      <c r="Y215" s="50">
        <v>3</v>
      </c>
      <c r="Z215" s="50">
        <v>3</v>
      </c>
    </row>
    <row r="216" spans="1:26">
      <c r="B216" s="48"/>
      <c r="C216" s="48"/>
      <c r="D216" s="48" t="s">
        <v>741</v>
      </c>
      <c r="E216" s="49">
        <v>1</v>
      </c>
      <c r="F216" s="49">
        <v>1</v>
      </c>
      <c r="G216" s="49">
        <v>2</v>
      </c>
      <c r="H216" s="49">
        <v>3</v>
      </c>
      <c r="I216" s="49">
        <v>3</v>
      </c>
      <c r="J216" s="49"/>
      <c r="K216" s="49"/>
      <c r="L216" s="49"/>
      <c r="M216" s="49">
        <v>1</v>
      </c>
      <c r="N216" s="49">
        <v>1</v>
      </c>
      <c r="O216" s="50">
        <v>3</v>
      </c>
      <c r="P216" s="50">
        <v>3</v>
      </c>
      <c r="Q216" s="50">
        <v>3</v>
      </c>
      <c r="R216" s="50">
        <v>3</v>
      </c>
      <c r="S216" s="50">
        <v>1</v>
      </c>
      <c r="T216" s="50">
        <v>1</v>
      </c>
      <c r="U216" s="50">
        <v>1</v>
      </c>
      <c r="V216" s="50">
        <v>1</v>
      </c>
      <c r="W216" s="53">
        <v>1</v>
      </c>
      <c r="X216" s="53">
        <v>1</v>
      </c>
      <c r="Y216" s="50">
        <v>3</v>
      </c>
      <c r="Z216" s="50">
        <v>3</v>
      </c>
    </row>
    <row r="217" spans="1:26">
      <c r="B217" s="48"/>
      <c r="C217" s="48"/>
      <c r="D217" s="48" t="s">
        <v>742</v>
      </c>
      <c r="E217" s="49">
        <v>1</v>
      </c>
      <c r="F217" s="49">
        <v>1</v>
      </c>
      <c r="G217" s="49">
        <v>2</v>
      </c>
      <c r="H217" s="49">
        <v>3</v>
      </c>
      <c r="I217" s="49">
        <v>3</v>
      </c>
      <c r="J217" s="49"/>
      <c r="K217" s="49"/>
      <c r="L217" s="49"/>
      <c r="M217" s="49">
        <v>1</v>
      </c>
      <c r="N217" s="49">
        <v>1</v>
      </c>
      <c r="O217" s="50">
        <v>3</v>
      </c>
      <c r="P217" s="50">
        <v>3</v>
      </c>
      <c r="Q217" s="50">
        <v>3</v>
      </c>
      <c r="R217" s="50">
        <v>3</v>
      </c>
      <c r="S217" s="50">
        <v>1</v>
      </c>
      <c r="T217" s="50">
        <v>1</v>
      </c>
      <c r="U217" s="50">
        <v>1</v>
      </c>
      <c r="V217" s="50">
        <v>1</v>
      </c>
      <c r="W217" s="53">
        <v>1</v>
      </c>
      <c r="X217" s="53">
        <v>1</v>
      </c>
      <c r="Y217" s="50">
        <v>3</v>
      </c>
      <c r="Z217" s="50">
        <v>3</v>
      </c>
    </row>
    <row r="218" spans="1:26">
      <c r="B218" s="48"/>
      <c r="C218" s="48"/>
      <c r="D218" s="48" t="s">
        <v>743</v>
      </c>
      <c r="E218" s="49">
        <v>1</v>
      </c>
      <c r="F218" s="49">
        <v>1</v>
      </c>
      <c r="G218" s="49">
        <v>2</v>
      </c>
      <c r="H218" s="49">
        <v>3</v>
      </c>
      <c r="I218" s="49">
        <v>3</v>
      </c>
      <c r="J218" s="49"/>
      <c r="K218" s="49"/>
      <c r="L218" s="49"/>
      <c r="M218" s="49">
        <v>1</v>
      </c>
      <c r="N218" s="49">
        <v>1</v>
      </c>
      <c r="O218" s="50">
        <v>3</v>
      </c>
      <c r="P218" s="50">
        <v>3</v>
      </c>
      <c r="Q218" s="50">
        <v>3</v>
      </c>
      <c r="R218" s="50">
        <v>3</v>
      </c>
      <c r="S218" s="50">
        <v>1</v>
      </c>
      <c r="T218" s="50">
        <v>1</v>
      </c>
      <c r="U218" s="50">
        <v>1</v>
      </c>
      <c r="V218" s="50">
        <v>1</v>
      </c>
      <c r="W218" s="53">
        <v>1</v>
      </c>
      <c r="X218" s="53">
        <v>1</v>
      </c>
      <c r="Y218" s="50">
        <v>3</v>
      </c>
      <c r="Z218" s="50">
        <v>3</v>
      </c>
    </row>
    <row r="219" spans="1:26">
      <c r="B219" s="48"/>
      <c r="C219" s="48"/>
      <c r="D219" s="48" t="s">
        <v>744</v>
      </c>
      <c r="E219" s="49">
        <v>1</v>
      </c>
      <c r="F219" s="49">
        <v>1</v>
      </c>
      <c r="G219" s="49">
        <v>2</v>
      </c>
      <c r="H219" s="49">
        <v>3</v>
      </c>
      <c r="I219" s="49">
        <v>3</v>
      </c>
      <c r="J219" s="49"/>
      <c r="K219" s="49"/>
      <c r="L219" s="49"/>
      <c r="M219" s="49">
        <v>1</v>
      </c>
      <c r="N219" s="49">
        <v>1</v>
      </c>
      <c r="O219" s="50">
        <v>3</v>
      </c>
      <c r="P219" s="50">
        <v>3</v>
      </c>
      <c r="Q219" s="50">
        <v>3</v>
      </c>
      <c r="R219" s="50">
        <v>3</v>
      </c>
      <c r="S219" s="50">
        <v>1</v>
      </c>
      <c r="T219" s="50">
        <v>1</v>
      </c>
      <c r="U219" s="50">
        <v>1</v>
      </c>
      <c r="V219" s="50">
        <v>1</v>
      </c>
      <c r="W219" s="53">
        <v>1</v>
      </c>
      <c r="X219" s="53">
        <v>1</v>
      </c>
      <c r="Y219" s="50">
        <v>3</v>
      </c>
      <c r="Z219" s="50">
        <v>3</v>
      </c>
    </row>
    <row r="220" spans="1:26">
      <c r="B220" s="48"/>
      <c r="C220" s="48"/>
      <c r="D220" s="48" t="s">
        <v>745</v>
      </c>
      <c r="E220" s="49">
        <v>1</v>
      </c>
      <c r="F220" s="49">
        <v>1</v>
      </c>
      <c r="G220" s="49">
        <v>2</v>
      </c>
      <c r="H220" s="49">
        <v>3</v>
      </c>
      <c r="I220" s="49">
        <v>3</v>
      </c>
      <c r="J220" s="49">
        <v>1</v>
      </c>
      <c r="K220" s="49">
        <v>1</v>
      </c>
      <c r="L220" s="49">
        <v>2</v>
      </c>
      <c r="M220" s="49">
        <v>3</v>
      </c>
      <c r="N220" s="49">
        <v>1</v>
      </c>
      <c r="O220" s="50">
        <v>3</v>
      </c>
      <c r="P220" s="50">
        <v>3</v>
      </c>
      <c r="Q220" s="50">
        <v>3</v>
      </c>
      <c r="R220" s="50">
        <v>3</v>
      </c>
      <c r="S220" s="50">
        <v>1</v>
      </c>
      <c r="T220" s="50">
        <v>1</v>
      </c>
      <c r="U220" s="50">
        <v>1</v>
      </c>
      <c r="V220" s="50">
        <v>1</v>
      </c>
      <c r="W220" s="53">
        <v>1</v>
      </c>
      <c r="X220" s="53">
        <v>1</v>
      </c>
      <c r="Y220" s="50">
        <v>3</v>
      </c>
      <c r="Z220" s="50">
        <v>3</v>
      </c>
    </row>
    <row r="221" spans="1:26">
      <c r="B221" s="48" t="s">
        <v>225</v>
      </c>
      <c r="C221" s="48"/>
      <c r="D221" s="48"/>
      <c r="E221" s="49"/>
      <c r="F221" s="49"/>
      <c r="G221" s="49"/>
      <c r="H221" s="49"/>
      <c r="I221" s="49"/>
      <c r="J221" s="49"/>
      <c r="K221" s="49"/>
      <c r="L221" s="49"/>
      <c r="M221" s="49"/>
      <c r="N221" s="49"/>
      <c r="O221" s="50"/>
      <c r="P221" s="50"/>
      <c r="Q221" s="50"/>
      <c r="R221" s="50"/>
      <c r="S221" s="50"/>
      <c r="T221" s="50"/>
      <c r="U221" s="50"/>
      <c r="V221" s="50"/>
      <c r="W221" s="53"/>
      <c r="X221" s="53"/>
      <c r="Y221" s="50"/>
      <c r="Z221" s="50"/>
    </row>
    <row r="222" spans="1:26">
      <c r="B222" s="48"/>
      <c r="C222" s="48" t="s">
        <v>225</v>
      </c>
      <c r="D222" s="48" t="s">
        <v>746</v>
      </c>
      <c r="E222" s="49">
        <v>2</v>
      </c>
      <c r="F222" s="49">
        <v>2</v>
      </c>
      <c r="G222" s="49">
        <v>3</v>
      </c>
      <c r="H222" s="49">
        <v>3</v>
      </c>
      <c r="I222" s="49">
        <v>3</v>
      </c>
      <c r="J222" s="49">
        <v>2</v>
      </c>
      <c r="K222" s="49">
        <v>2</v>
      </c>
      <c r="L222" s="49">
        <v>3</v>
      </c>
      <c r="M222" s="49">
        <v>3</v>
      </c>
      <c r="N222" s="49">
        <v>3</v>
      </c>
      <c r="O222" s="50">
        <v>3</v>
      </c>
      <c r="P222" s="50">
        <v>3</v>
      </c>
      <c r="Q222" s="50">
        <v>3</v>
      </c>
      <c r="R222" s="50">
        <v>3</v>
      </c>
      <c r="S222" s="50">
        <v>2</v>
      </c>
      <c r="T222" s="50">
        <v>2</v>
      </c>
      <c r="U222" s="50">
        <v>2</v>
      </c>
      <c r="V222" s="50">
        <v>2</v>
      </c>
      <c r="W222" s="53">
        <v>3</v>
      </c>
      <c r="X222" s="53">
        <v>3</v>
      </c>
      <c r="Y222" s="50">
        <v>3</v>
      </c>
      <c r="Z222" s="50">
        <v>3</v>
      </c>
    </row>
    <row r="223" spans="1:26">
      <c r="B223" s="48"/>
      <c r="C223" s="48"/>
      <c r="D223" s="48" t="s">
        <v>747</v>
      </c>
      <c r="E223" s="49"/>
      <c r="F223" s="49"/>
      <c r="G223" s="49"/>
      <c r="H223" s="49"/>
      <c r="I223" s="49"/>
      <c r="J223" s="49"/>
      <c r="K223" s="49"/>
      <c r="L223" s="49"/>
      <c r="M223" s="49"/>
      <c r="N223" s="49"/>
      <c r="O223" s="50"/>
      <c r="P223" s="50"/>
      <c r="Q223" s="50"/>
      <c r="R223" s="50"/>
      <c r="S223" s="50">
        <v>2</v>
      </c>
      <c r="T223" s="50">
        <v>2</v>
      </c>
      <c r="U223" s="50">
        <v>2</v>
      </c>
      <c r="V223" s="50">
        <v>2</v>
      </c>
      <c r="W223" s="53"/>
      <c r="X223" s="53"/>
      <c r="Y223" s="50">
        <v>2</v>
      </c>
      <c r="Z223" s="50">
        <v>3</v>
      </c>
    </row>
    <row r="224" spans="1:26">
      <c r="B224" s="48"/>
      <c r="C224" s="48"/>
      <c r="D224" s="48" t="s">
        <v>748</v>
      </c>
      <c r="E224" s="49">
        <v>1</v>
      </c>
      <c r="F224" s="49">
        <v>2</v>
      </c>
      <c r="G224" s="49">
        <v>3</v>
      </c>
      <c r="H224" s="49">
        <v>3</v>
      </c>
      <c r="I224" s="49">
        <v>3</v>
      </c>
      <c r="J224" s="49">
        <v>1</v>
      </c>
      <c r="K224" s="49">
        <v>2</v>
      </c>
      <c r="L224" s="49">
        <v>3</v>
      </c>
      <c r="M224" s="49">
        <v>3</v>
      </c>
      <c r="N224" s="49">
        <v>3</v>
      </c>
      <c r="O224" s="50">
        <v>3</v>
      </c>
      <c r="P224" s="50">
        <v>3</v>
      </c>
      <c r="Q224" s="50">
        <v>3</v>
      </c>
      <c r="R224" s="50">
        <v>3</v>
      </c>
      <c r="S224" s="50"/>
      <c r="T224" s="50"/>
      <c r="U224" s="50"/>
      <c r="V224" s="50"/>
      <c r="W224" s="53">
        <v>3</v>
      </c>
      <c r="X224" s="53">
        <v>3</v>
      </c>
      <c r="Y224" s="50">
        <v>3</v>
      </c>
      <c r="Z224" s="50">
        <v>3</v>
      </c>
    </row>
    <row r="225" spans="2:26">
      <c r="B225" s="48"/>
      <c r="C225" s="48"/>
      <c r="D225" s="48" t="s">
        <v>749</v>
      </c>
      <c r="E225" s="49"/>
      <c r="F225" s="49"/>
      <c r="G225" s="49"/>
      <c r="H225" s="49"/>
      <c r="I225" s="49"/>
      <c r="J225" s="49"/>
      <c r="K225" s="49"/>
      <c r="L225" s="49"/>
      <c r="M225" s="49"/>
      <c r="N225" s="49"/>
      <c r="O225" s="50">
        <v>2</v>
      </c>
      <c r="P225" s="50">
        <v>2</v>
      </c>
      <c r="Q225" s="50">
        <v>3</v>
      </c>
      <c r="R225" s="50">
        <v>3</v>
      </c>
      <c r="S225" s="50"/>
      <c r="T225" s="50"/>
      <c r="U225" s="50"/>
      <c r="V225" s="50"/>
      <c r="W225" s="53"/>
      <c r="X225" s="53"/>
      <c r="Y225" s="50">
        <v>3</v>
      </c>
      <c r="Z225" s="50">
        <v>3</v>
      </c>
    </row>
    <row r="226" spans="2:26">
      <c r="B226" s="48"/>
      <c r="C226" s="48"/>
      <c r="D226" s="48" t="s">
        <v>750</v>
      </c>
      <c r="E226" s="49">
        <v>1</v>
      </c>
      <c r="F226" s="49">
        <v>2</v>
      </c>
      <c r="G226" s="49">
        <v>2</v>
      </c>
      <c r="H226" s="49">
        <v>2</v>
      </c>
      <c r="I226" s="49">
        <v>2</v>
      </c>
      <c r="J226" s="49">
        <v>2</v>
      </c>
      <c r="K226" s="49">
        <v>2</v>
      </c>
      <c r="L226" s="49">
        <v>2</v>
      </c>
      <c r="M226" s="49">
        <v>2</v>
      </c>
      <c r="N226" s="49">
        <v>2</v>
      </c>
      <c r="O226" s="50">
        <v>3</v>
      </c>
      <c r="P226" s="50">
        <v>3</v>
      </c>
      <c r="Q226" s="50">
        <v>3</v>
      </c>
      <c r="R226" s="50">
        <v>3</v>
      </c>
      <c r="S226" s="50">
        <v>2</v>
      </c>
      <c r="T226" s="50">
        <v>2</v>
      </c>
      <c r="U226" s="50">
        <v>2</v>
      </c>
      <c r="V226" s="50">
        <v>2</v>
      </c>
      <c r="W226" s="53"/>
      <c r="X226" s="53"/>
      <c r="Y226" s="50">
        <v>3</v>
      </c>
      <c r="Z226" s="50">
        <v>3</v>
      </c>
    </row>
    <row r="227" spans="2:26">
      <c r="B227" s="48"/>
      <c r="C227" s="48"/>
      <c r="D227" s="48" t="s">
        <v>751</v>
      </c>
      <c r="E227" s="49"/>
      <c r="F227" s="49"/>
      <c r="G227" s="49"/>
      <c r="H227" s="49"/>
      <c r="I227" s="49"/>
      <c r="J227" s="49"/>
      <c r="K227" s="49"/>
      <c r="L227" s="49"/>
      <c r="M227" s="49"/>
      <c r="N227" s="49"/>
      <c r="O227" s="50"/>
      <c r="P227" s="50"/>
      <c r="Q227" s="50"/>
      <c r="R227" s="50"/>
      <c r="S227" s="50">
        <v>2</v>
      </c>
      <c r="T227" s="50">
        <v>2</v>
      </c>
      <c r="U227" s="50">
        <v>2</v>
      </c>
      <c r="V227" s="50">
        <v>2</v>
      </c>
      <c r="W227" s="53">
        <v>3</v>
      </c>
      <c r="X227" s="53">
        <v>3</v>
      </c>
      <c r="Y227" s="50">
        <v>3</v>
      </c>
      <c r="Z227" s="50">
        <v>3</v>
      </c>
    </row>
    <row r="228" spans="2:26">
      <c r="B228" s="48"/>
      <c r="C228" s="48"/>
      <c r="D228" s="48" t="s">
        <v>752</v>
      </c>
      <c r="E228" s="49"/>
      <c r="F228" s="49"/>
      <c r="G228" s="49"/>
      <c r="H228" s="49"/>
      <c r="I228" s="49"/>
      <c r="J228" s="49"/>
      <c r="K228" s="49"/>
      <c r="L228" s="49"/>
      <c r="M228" s="49"/>
      <c r="N228" s="49"/>
      <c r="O228" s="50"/>
      <c r="P228" s="50"/>
      <c r="Q228" s="50"/>
      <c r="R228" s="50"/>
      <c r="S228" s="50">
        <v>2</v>
      </c>
      <c r="T228" s="50">
        <v>2</v>
      </c>
      <c r="U228" s="50">
        <v>2</v>
      </c>
      <c r="V228" s="50">
        <v>2</v>
      </c>
      <c r="W228" s="53">
        <v>2</v>
      </c>
      <c r="X228" s="53">
        <v>2</v>
      </c>
      <c r="Y228" s="50">
        <v>2</v>
      </c>
      <c r="Z228" s="50">
        <v>2</v>
      </c>
    </row>
    <row r="229" spans="2:26">
      <c r="B229" s="48" t="s">
        <v>214</v>
      </c>
      <c r="C229" s="48"/>
      <c r="D229" s="48"/>
      <c r="E229" s="49"/>
      <c r="F229" s="49"/>
      <c r="G229" s="49"/>
      <c r="H229" s="49"/>
      <c r="I229" s="49"/>
      <c r="J229" s="49"/>
      <c r="K229" s="49"/>
      <c r="L229" s="49"/>
      <c r="M229" s="49"/>
      <c r="N229" s="49"/>
      <c r="O229" s="50"/>
      <c r="P229" s="50"/>
      <c r="Q229" s="50"/>
      <c r="R229" s="50"/>
      <c r="S229" s="50"/>
      <c r="T229" s="50"/>
      <c r="U229" s="50"/>
      <c r="V229" s="50"/>
      <c r="W229" s="53"/>
      <c r="X229" s="53"/>
      <c r="Y229" s="50"/>
      <c r="Z229" s="50"/>
    </row>
    <row r="230" spans="2:26">
      <c r="B230" s="48"/>
      <c r="C230" s="48" t="s">
        <v>214</v>
      </c>
      <c r="D230" s="48" t="s">
        <v>753</v>
      </c>
      <c r="E230" s="49">
        <v>1</v>
      </c>
      <c r="F230" s="49">
        <v>2</v>
      </c>
      <c r="G230" s="49">
        <v>2</v>
      </c>
      <c r="H230" s="49">
        <v>3</v>
      </c>
      <c r="I230" s="49">
        <v>3</v>
      </c>
      <c r="J230" s="49">
        <v>1</v>
      </c>
      <c r="K230" s="49">
        <v>2</v>
      </c>
      <c r="L230" s="49">
        <v>2</v>
      </c>
      <c r="M230" s="49">
        <v>3</v>
      </c>
      <c r="N230" s="49">
        <v>3</v>
      </c>
      <c r="O230" s="50">
        <v>3</v>
      </c>
      <c r="P230" s="50">
        <v>3</v>
      </c>
      <c r="Q230" s="50">
        <v>3</v>
      </c>
      <c r="R230" s="50">
        <v>3</v>
      </c>
      <c r="S230" s="50">
        <v>2</v>
      </c>
      <c r="T230" s="50">
        <v>2</v>
      </c>
      <c r="U230" s="50">
        <v>2</v>
      </c>
      <c r="V230" s="50">
        <v>2</v>
      </c>
      <c r="W230" s="53">
        <v>2</v>
      </c>
      <c r="X230" s="53">
        <v>2</v>
      </c>
      <c r="Y230" s="50">
        <v>3</v>
      </c>
      <c r="Z230" s="50">
        <v>3</v>
      </c>
    </row>
    <row r="231" spans="2:26">
      <c r="B231" s="48"/>
      <c r="C231" s="48"/>
      <c r="D231" s="48" t="s">
        <v>754</v>
      </c>
      <c r="E231" s="49">
        <v>1</v>
      </c>
      <c r="F231" s="49">
        <v>1</v>
      </c>
      <c r="G231" s="49">
        <v>2</v>
      </c>
      <c r="H231" s="49">
        <v>3</v>
      </c>
      <c r="I231" s="49">
        <v>3</v>
      </c>
      <c r="J231" s="49"/>
      <c r="K231" s="49"/>
      <c r="L231" s="49"/>
      <c r="M231" s="49">
        <v>1</v>
      </c>
      <c r="N231" s="49">
        <v>1</v>
      </c>
      <c r="O231" s="50">
        <v>3</v>
      </c>
      <c r="P231" s="50">
        <v>3</v>
      </c>
      <c r="Q231" s="50">
        <v>3</v>
      </c>
      <c r="R231" s="50">
        <v>3</v>
      </c>
      <c r="S231" s="50">
        <v>1</v>
      </c>
      <c r="T231" s="50">
        <v>1</v>
      </c>
      <c r="U231" s="50">
        <v>1</v>
      </c>
      <c r="V231" s="50">
        <v>1</v>
      </c>
      <c r="W231" s="53">
        <v>1</v>
      </c>
      <c r="X231" s="53">
        <v>1</v>
      </c>
      <c r="Y231" s="50">
        <v>3</v>
      </c>
      <c r="Z231" s="50">
        <v>3</v>
      </c>
    </row>
    <row r="232" spans="2:26">
      <c r="B232" s="48"/>
      <c r="C232" s="48"/>
      <c r="D232" s="48" t="s">
        <v>755</v>
      </c>
      <c r="E232" s="49">
        <v>1</v>
      </c>
      <c r="F232" s="49">
        <v>1</v>
      </c>
      <c r="G232" s="49">
        <v>2</v>
      </c>
      <c r="H232" s="49">
        <v>3</v>
      </c>
      <c r="I232" s="49">
        <v>3</v>
      </c>
      <c r="J232" s="49"/>
      <c r="K232" s="49"/>
      <c r="L232" s="49"/>
      <c r="M232" s="49">
        <v>1</v>
      </c>
      <c r="N232" s="49">
        <v>1</v>
      </c>
      <c r="O232" s="50">
        <v>3</v>
      </c>
      <c r="P232" s="50">
        <v>3</v>
      </c>
      <c r="Q232" s="50">
        <v>3</v>
      </c>
      <c r="R232" s="50">
        <v>3</v>
      </c>
      <c r="S232" s="50">
        <v>1</v>
      </c>
      <c r="T232" s="50">
        <v>1</v>
      </c>
      <c r="U232" s="50">
        <v>1</v>
      </c>
      <c r="V232" s="50">
        <v>1</v>
      </c>
      <c r="W232" s="53">
        <v>1</v>
      </c>
      <c r="X232" s="53">
        <v>1</v>
      </c>
      <c r="Y232" s="50">
        <v>3</v>
      </c>
      <c r="Z232" s="50">
        <v>3</v>
      </c>
    </row>
    <row r="233" spans="2:26">
      <c r="B233" s="48"/>
      <c r="C233" s="48"/>
      <c r="D233" s="48" t="s">
        <v>756</v>
      </c>
      <c r="E233" s="49">
        <v>1</v>
      </c>
      <c r="F233" s="49">
        <v>1</v>
      </c>
      <c r="G233" s="49">
        <v>2</v>
      </c>
      <c r="H233" s="49">
        <v>3</v>
      </c>
      <c r="I233" s="49">
        <v>3</v>
      </c>
      <c r="J233" s="49"/>
      <c r="K233" s="49"/>
      <c r="L233" s="49"/>
      <c r="M233" s="49">
        <v>1</v>
      </c>
      <c r="N233" s="49">
        <v>1</v>
      </c>
      <c r="O233" s="50">
        <v>3</v>
      </c>
      <c r="P233" s="50">
        <v>3</v>
      </c>
      <c r="Q233" s="50">
        <v>3</v>
      </c>
      <c r="R233" s="50">
        <v>3</v>
      </c>
      <c r="S233" s="50">
        <v>1</v>
      </c>
      <c r="T233" s="50">
        <v>1</v>
      </c>
      <c r="U233" s="50">
        <v>1</v>
      </c>
      <c r="V233" s="50">
        <v>1</v>
      </c>
      <c r="W233" s="53">
        <v>1</v>
      </c>
      <c r="X233" s="53">
        <v>1</v>
      </c>
      <c r="Y233" s="50">
        <v>3</v>
      </c>
      <c r="Z233" s="50">
        <v>3</v>
      </c>
    </row>
    <row r="234" spans="2:26">
      <c r="B234" s="48"/>
      <c r="C234" s="48"/>
      <c r="D234" s="48" t="s">
        <v>757</v>
      </c>
      <c r="E234" s="49">
        <v>1</v>
      </c>
      <c r="F234" s="49">
        <v>1</v>
      </c>
      <c r="G234" s="49">
        <v>2</v>
      </c>
      <c r="H234" s="49">
        <v>3</v>
      </c>
      <c r="I234" s="49">
        <v>3</v>
      </c>
      <c r="J234" s="49"/>
      <c r="K234" s="49"/>
      <c r="L234" s="49"/>
      <c r="M234" s="49">
        <v>1</v>
      </c>
      <c r="N234" s="49">
        <v>1</v>
      </c>
      <c r="O234" s="50">
        <v>3</v>
      </c>
      <c r="P234" s="50">
        <v>3</v>
      </c>
      <c r="Q234" s="50">
        <v>3</v>
      </c>
      <c r="R234" s="50">
        <v>3</v>
      </c>
      <c r="S234" s="50">
        <v>1</v>
      </c>
      <c r="T234" s="50">
        <v>1</v>
      </c>
      <c r="U234" s="50">
        <v>1</v>
      </c>
      <c r="V234" s="50">
        <v>1</v>
      </c>
      <c r="W234" s="53">
        <v>1</v>
      </c>
      <c r="X234" s="53">
        <v>1</v>
      </c>
      <c r="Y234" s="50">
        <v>3</v>
      </c>
      <c r="Z234" s="50">
        <v>3</v>
      </c>
    </row>
  </sheetData>
  <mergeCells count="10">
    <mergeCell ref="F11:I11"/>
    <mergeCell ref="B3:R3"/>
    <mergeCell ref="H5:H6"/>
    <mergeCell ref="I5:I6"/>
    <mergeCell ref="L5:L6"/>
    <mergeCell ref="M5:M6"/>
    <mergeCell ref="N5:N6"/>
    <mergeCell ref="P5:P6"/>
    <mergeCell ref="Q5:Q6"/>
    <mergeCell ref="O5:O6"/>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KPIT</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Measurement Resource Plan</dc:title>
  <dc:subject/>
  <dc:creator>Ashwin D</dc:creator>
  <cp:keywords/>
  <dc:description/>
  <cp:lastModifiedBy>Guna Sai Sankar Manikyam</cp:lastModifiedBy>
  <cp:revision/>
  <dcterms:created xsi:type="dcterms:W3CDTF">2019-08-26T06:31:18Z</dcterms:created>
  <dcterms:modified xsi:type="dcterms:W3CDTF">2024-04-15T09:57:16Z</dcterms:modified>
  <cp:category/>
  <cp:contentStatus/>
</cp:coreProperties>
</file>